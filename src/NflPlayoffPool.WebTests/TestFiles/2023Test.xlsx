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Zachlin\Documents\FJA\"/>
    </mc:Choice>
  </mc:AlternateContent>
  <xr:revisionPtr revIDLastSave="0" documentId="13_ncr:1_{AA4BD6A6-D84A-40FD-9F9F-D56B750B874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uperGrid2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13" i="2" l="1"/>
  <c r="AP16" i="2" s="1"/>
  <c r="AP18" i="2" s="1"/>
  <c r="AO13" i="2"/>
  <c r="AO16" i="2" s="1"/>
  <c r="AO18" i="2" s="1"/>
  <c r="AN13" i="2"/>
  <c r="AN16" i="2" s="1"/>
  <c r="AN18" i="2" s="1"/>
  <c r="AP8" i="2"/>
  <c r="AO8" i="2"/>
  <c r="AN8" i="2"/>
  <c r="V8" i="2"/>
  <c r="V13" i="2" s="1"/>
  <c r="V16" i="2" s="1"/>
  <c r="U8" i="2"/>
  <c r="U13" i="2" s="1"/>
  <c r="U16" i="2" s="1"/>
  <c r="T8" i="2"/>
  <c r="T13" i="2" s="1"/>
  <c r="T16" i="2" s="1"/>
  <c r="S8" i="2"/>
  <c r="S13" i="2" s="1"/>
  <c r="S16" i="2" s="1"/>
  <c r="X8" i="2" l="1"/>
  <c r="X13" i="2" s="1"/>
  <c r="X16" i="2" s="1"/>
  <c r="W8" i="2"/>
  <c r="W13" i="2" s="1"/>
  <c r="W16" i="2" s="1"/>
  <c r="P8" i="2" l="1"/>
  <c r="P13" i="2" s="1"/>
  <c r="P16" i="2" s="1"/>
  <c r="O8" i="2"/>
  <c r="O13" i="2" s="1"/>
  <c r="O16" i="2" s="1"/>
  <c r="N8" i="2"/>
  <c r="N13" i="2" s="1"/>
  <c r="N16" i="2" s="1"/>
  <c r="M8" i="2"/>
  <c r="M13" i="2" s="1"/>
  <c r="M16" i="2" s="1"/>
  <c r="L8" i="2"/>
  <c r="L13" i="2" s="1"/>
  <c r="L16" i="2" s="1"/>
  <c r="D8" i="2" l="1"/>
  <c r="D13" i="2" s="1"/>
  <c r="D16" i="2" s="1"/>
  <c r="C8" i="2"/>
  <c r="C13" i="2" s="1"/>
  <c r="C16" i="2" s="1"/>
  <c r="BC8" i="2" l="1"/>
  <c r="BC13" i="2" s="1"/>
  <c r="BC16" i="2" s="1"/>
  <c r="BF8" i="2" l="1"/>
  <c r="BF13" i="2" s="1"/>
  <c r="BF16" i="2" s="1"/>
  <c r="BE8" i="2"/>
  <c r="BE13" i="2" s="1"/>
  <c r="BE16" i="2" s="1"/>
  <c r="BD8" i="2"/>
  <c r="BD13" i="2" s="1"/>
  <c r="BD16" i="2" s="1"/>
  <c r="AZ8" i="2" l="1"/>
  <c r="AZ13" i="2" s="1"/>
  <c r="AZ16" i="2" s="1"/>
  <c r="AY8" i="2"/>
  <c r="AY13" i="2" s="1"/>
  <c r="AY16" i="2" s="1"/>
  <c r="AX8" i="2"/>
  <c r="AX13" i="2" s="1"/>
  <c r="AX16" i="2" s="1"/>
  <c r="AW8" i="2"/>
  <c r="AW13" i="2" s="1"/>
  <c r="AW16" i="2" s="1"/>
  <c r="K8" i="2" l="1"/>
  <c r="K13" i="2" s="1"/>
  <c r="K16" i="2" s="1"/>
  <c r="J8" i="2"/>
  <c r="J13" i="2" s="1"/>
  <c r="J16" i="2" s="1"/>
  <c r="I8" i="2"/>
  <c r="I13" i="2" s="1"/>
  <c r="I16" i="2" s="1"/>
  <c r="H8" i="2"/>
  <c r="H13" i="2" s="1"/>
  <c r="H16" i="2" s="1"/>
  <c r="G8" i="2"/>
  <c r="G13" i="2" s="1"/>
  <c r="G16" i="2" s="1"/>
  <c r="F8" i="2"/>
  <c r="F13" i="2" s="1"/>
  <c r="F16" i="2" s="1"/>
  <c r="E8" i="2"/>
  <c r="E13" i="2" s="1"/>
  <c r="E16" i="2" s="1"/>
  <c r="P18" i="2" l="1"/>
  <c r="R8" i="2"/>
  <c r="R13" i="2" s="1"/>
  <c r="R16" i="2" s="1"/>
  <c r="R18" i="2" s="1"/>
  <c r="Q8" i="2"/>
  <c r="Q13" i="2" s="1"/>
  <c r="Q16" i="2" s="1"/>
  <c r="Q18" i="2" s="1"/>
  <c r="BN8" i="2"/>
  <c r="BN13" i="2" s="1"/>
  <c r="BN16" i="2" s="1"/>
  <c r="BM8" i="2"/>
  <c r="BM13" i="2" s="1"/>
  <c r="BM16" i="2" s="1"/>
  <c r="BL8" i="2"/>
  <c r="BL13" i="2" s="1"/>
  <c r="BL16" i="2" s="1"/>
  <c r="BK8" i="2"/>
  <c r="BK13" i="2" s="1"/>
  <c r="BK16" i="2" s="1"/>
  <c r="BL18" i="2" l="1"/>
  <c r="BI8" i="2"/>
  <c r="BI13" i="2" s="1"/>
  <c r="BI16" i="2" s="1"/>
  <c r="BI18" i="2" s="1"/>
  <c r="AL8" i="2" l="1"/>
  <c r="AL13" i="2" s="1"/>
  <c r="AL16" i="2" s="1"/>
  <c r="AK8" i="2"/>
  <c r="AK13" i="2" s="1"/>
  <c r="AK16" i="2" s="1"/>
  <c r="AJ8" i="2"/>
  <c r="AJ13" i="2" s="1"/>
  <c r="AJ16" i="2" s="1"/>
  <c r="AI8" i="2"/>
  <c r="AI13" i="2" s="1"/>
  <c r="AI16" i="2" s="1"/>
  <c r="AA8" i="2"/>
  <c r="AA13" i="2" s="1"/>
  <c r="AA16" i="2" s="1"/>
  <c r="AE8" i="2"/>
  <c r="AE13" i="2" s="1"/>
  <c r="AE16" i="2" s="1"/>
  <c r="BJ8" i="2"/>
  <c r="BJ13" i="2" s="1"/>
  <c r="BJ16" i="2" s="1"/>
  <c r="AR8" i="2" l="1"/>
  <c r="AR13" i="2" s="1"/>
  <c r="AR16" i="2" s="1"/>
  <c r="AQ8" i="2"/>
  <c r="AQ13" i="2" s="1"/>
  <c r="AQ16" i="2" s="1"/>
  <c r="Y8" i="2" l="1"/>
  <c r="Y13" i="2" s="1"/>
  <c r="Y16" i="2" s="1"/>
  <c r="Y18" i="2" s="1"/>
  <c r="B20" i="2"/>
  <c r="AV8" i="2" l="1"/>
  <c r="AV13" i="2" s="1"/>
  <c r="AV16" i="2" s="1"/>
  <c r="AU8" i="2"/>
  <c r="AU13" i="2" s="1"/>
  <c r="AU16" i="2" s="1"/>
  <c r="AT8" i="2"/>
  <c r="AT13" i="2" s="1"/>
  <c r="AT16" i="2" s="1"/>
  <c r="AS8" i="2"/>
  <c r="AS13" i="2" s="1"/>
  <c r="AS16" i="2" s="1"/>
  <c r="O18" i="2" l="1"/>
  <c r="N18" i="2"/>
  <c r="M18" i="2"/>
  <c r="L18" i="2"/>
  <c r="AB8" i="2" l="1"/>
  <c r="AB13" i="2" s="1"/>
  <c r="AB16" i="2" s="1"/>
  <c r="Z8" i="2"/>
  <c r="Z13" i="2" s="1"/>
  <c r="Z16" i="2" s="1"/>
  <c r="BN18" i="2" l="1"/>
  <c r="AY18" i="2"/>
  <c r="AX18" i="2"/>
  <c r="AB18" i="2"/>
  <c r="AA18" i="2"/>
  <c r="BM18" i="2"/>
  <c r="BK18" i="2"/>
  <c r="BJ18" i="2"/>
  <c r="BH8" i="2"/>
  <c r="BH13" i="2" s="1"/>
  <c r="BH16" i="2" s="1"/>
  <c r="BH18" i="2" s="1"/>
  <c r="BG8" i="2"/>
  <c r="BG13" i="2" s="1"/>
  <c r="BG16" i="2" s="1"/>
  <c r="BG18" i="2" s="1"/>
  <c r="BF18" i="2"/>
  <c r="BE18" i="2"/>
  <c r="BD18" i="2"/>
  <c r="BC18" i="2"/>
  <c r="BB8" i="2"/>
  <c r="BB13" i="2" s="1"/>
  <c r="BB16" i="2" s="1"/>
  <c r="BB18" i="2" s="1"/>
  <c r="BA8" i="2"/>
  <c r="BA13" i="2" s="1"/>
  <c r="BA16" i="2" s="1"/>
  <c r="BA18" i="2" s="1"/>
  <c r="AZ18" i="2"/>
  <c r="AW18" i="2"/>
  <c r="AV18" i="2"/>
  <c r="AU18" i="2"/>
  <c r="AT18" i="2"/>
  <c r="AS18" i="2"/>
  <c r="AR18" i="2"/>
  <c r="AQ18" i="2"/>
  <c r="AM8" i="2"/>
  <c r="AM13" i="2" s="1"/>
  <c r="AM16" i="2" s="1"/>
  <c r="AM18" i="2" s="1"/>
  <c r="AL18" i="2"/>
  <c r="AK18" i="2"/>
  <c r="AJ18" i="2"/>
  <c r="AI18" i="2"/>
  <c r="AH8" i="2"/>
  <c r="AH13" i="2" s="1"/>
  <c r="AH16" i="2" s="1"/>
  <c r="AH18" i="2" s="1"/>
  <c r="AG8" i="2"/>
  <c r="AG13" i="2" s="1"/>
  <c r="AG16" i="2" s="1"/>
  <c r="AG18" i="2" s="1"/>
  <c r="AF8" i="2"/>
  <c r="AF13" i="2" s="1"/>
  <c r="AF16" i="2" s="1"/>
  <c r="AF18" i="2" s="1"/>
  <c r="AE18" i="2"/>
  <c r="AD8" i="2"/>
  <c r="AD13" i="2" s="1"/>
  <c r="AD16" i="2" s="1"/>
  <c r="AD18" i="2" s="1"/>
  <c r="AC8" i="2"/>
  <c r="AC13" i="2" s="1"/>
  <c r="AC16" i="2" s="1"/>
  <c r="AC18" i="2" s="1"/>
  <c r="Z18" i="2"/>
  <c r="X18" i="2"/>
  <c r="W18" i="2"/>
  <c r="V18" i="2"/>
  <c r="U18" i="2"/>
  <c r="T18" i="2"/>
  <c r="S18" i="2"/>
  <c r="K18" i="2"/>
  <c r="J18" i="2"/>
  <c r="I18" i="2"/>
  <c r="H18" i="2"/>
  <c r="G18" i="2"/>
  <c r="F18" i="2"/>
  <c r="E18" i="2"/>
  <c r="D18" i="2"/>
  <c r="C18" i="2"/>
  <c r="B19" i="2" l="1"/>
  <c r="B22" i="2" l="1"/>
  <c r="B24" i="2"/>
  <c r="B23" i="2"/>
</calcChain>
</file>

<file path=xl/sharedStrings.xml><?xml version="1.0" encoding="utf-8"?>
<sst xmlns="http://schemas.openxmlformats.org/spreadsheetml/2006/main" count="898" uniqueCount="99">
  <si>
    <t>Round #1</t>
  </si>
  <si>
    <t>2 Points</t>
  </si>
  <si>
    <t>Total</t>
  </si>
  <si>
    <t>Round #2</t>
  </si>
  <si>
    <t>3 Points</t>
  </si>
  <si>
    <t>Round #3</t>
  </si>
  <si>
    <t>5 Points</t>
  </si>
  <si>
    <t>SB 8 Points</t>
  </si>
  <si>
    <t>ROUND 1 winners:</t>
  </si>
  <si>
    <t>ROUND 2 winners:</t>
  </si>
  <si>
    <t>ROUND 3 winners:</t>
  </si>
  <si>
    <t>FJA Player:</t>
  </si>
  <si>
    <t>LANA</t>
  </si>
  <si>
    <t>MOLLY</t>
  </si>
  <si>
    <t>BOOKIE BOB</t>
  </si>
  <si>
    <t>LESLIE</t>
  </si>
  <si>
    <t>GEORGE</t>
  </si>
  <si>
    <t>CAROLYN</t>
  </si>
  <si>
    <t>KATHY</t>
  </si>
  <si>
    <t>FRAN</t>
  </si>
  <si>
    <t>EILEEN</t>
  </si>
  <si>
    <t>FRANK</t>
  </si>
  <si>
    <t>MARTY</t>
  </si>
  <si>
    <t>ALICE</t>
  </si>
  <si>
    <t>MEGAN</t>
  </si>
  <si>
    <t>RYAN H</t>
  </si>
  <si>
    <t>STEPHEN Z</t>
  </si>
  <si>
    <t>MARY</t>
  </si>
  <si>
    <t>MATT H</t>
  </si>
  <si>
    <t>MIKE H</t>
  </si>
  <si>
    <t>ADAM Z</t>
  </si>
  <si>
    <t>MATT Z</t>
  </si>
  <si>
    <t>SCOTT</t>
  </si>
  <si>
    <t>GRACE H</t>
  </si>
  <si>
    <t>EMILY</t>
  </si>
  <si>
    <t>CLARE</t>
  </si>
  <si>
    <t>STEVE H</t>
  </si>
  <si>
    <t>MATTHEW H</t>
  </si>
  <si>
    <t>RUTHIE</t>
  </si>
  <si>
    <t>DAN</t>
  </si>
  <si>
    <t>MIKE</t>
  </si>
  <si>
    <t>AIMEE</t>
  </si>
  <si>
    <t>ALANA</t>
  </si>
  <si>
    <t>SARA</t>
  </si>
  <si>
    <t>TONY</t>
  </si>
  <si>
    <t>BRENNAN</t>
  </si>
  <si>
    <t>LOGAN</t>
  </si>
  <si>
    <t>Prize money</t>
  </si>
  <si>
    <t>1st prize</t>
  </si>
  <si>
    <t>2nd prize</t>
  </si>
  <si>
    <t>3rd prize</t>
  </si>
  <si>
    <t>MIKEY</t>
  </si>
  <si>
    <t>payment received?</t>
  </si>
  <si>
    <t>Super Bowl Winner:</t>
  </si>
  <si>
    <t>PAUL</t>
  </si>
  <si>
    <t>DARCY</t>
  </si>
  <si>
    <t>RYAN</t>
  </si>
  <si>
    <t>MARK</t>
  </si>
  <si>
    <t>DEBBIE</t>
  </si>
  <si>
    <t>ALEX</t>
  </si>
  <si>
    <t>TOMMY</t>
  </si>
  <si>
    <t>GREG</t>
  </si>
  <si>
    <t>DIANE</t>
  </si>
  <si>
    <t>BETH</t>
  </si>
  <si>
    <t>MAX</t>
  </si>
  <si>
    <t>STEVEN WRIGHT</t>
  </si>
  <si>
    <t>ELLEN</t>
  </si>
  <si>
    <t>BOB ERZEN</t>
  </si>
  <si>
    <t>PATTI</t>
  </si>
  <si>
    <t>REGAN</t>
  </si>
  <si>
    <t>KEATING</t>
  </si>
  <si>
    <t>KEVIN S</t>
  </si>
  <si>
    <t>GRACE WRIGHT</t>
  </si>
  <si>
    <t>BUF</t>
  </si>
  <si>
    <t>KC</t>
  </si>
  <si>
    <t>MATT R</t>
  </si>
  <si>
    <t>NICOLE</t>
  </si>
  <si>
    <t>ADAM E</t>
  </si>
  <si>
    <t>BRENNAN #2</t>
  </si>
  <si>
    <t>in contention?</t>
  </si>
  <si>
    <t>DAL</t>
  </si>
  <si>
    <t>CIN</t>
  </si>
  <si>
    <t>LA</t>
  </si>
  <si>
    <t>SF</t>
  </si>
  <si>
    <t>RICKY</t>
  </si>
  <si>
    <t>PHI</t>
  </si>
  <si>
    <t>JOHN</t>
  </si>
  <si>
    <t>MIN</t>
  </si>
  <si>
    <t>JAC</t>
  </si>
  <si>
    <t>SEA</t>
  </si>
  <si>
    <t>TB</t>
  </si>
  <si>
    <t>yes</t>
  </si>
  <si>
    <t>NY</t>
  </si>
  <si>
    <t>MIA</t>
  </si>
  <si>
    <t>TROY #2</t>
  </si>
  <si>
    <t>TROY #1</t>
  </si>
  <si>
    <t>BAL</t>
  </si>
  <si>
    <t>TAM</t>
  </si>
  <si>
    <t>MARY ZOE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</si>
</sst>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6">
    <border>
      <left/>
      <right/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5">
    <xf numFmtId="0" fontId="0" fillId="0" borderId="0"/>
    <xf numFmtId="0" fontId="7" fillId="0" borderId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4" fillId="0" borderId="0" xfId="0" applyFont="1" applyAlignment="1">
      <alignment horizontal="center"/>
    </xf>
    <xf numFmtId="0" fontId="1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 textRotation="90" wrapText="1"/>
    </xf>
    <xf numFmtId="0" fontId="2" fillId="0" borderId="15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13" xfId="0" applyFont="1" applyBorder="1" applyAlignment="1">
      <alignment horizontal="center" vertical="top" wrapText="1"/>
    </xf>
    <xf numFmtId="0" fontId="7" fillId="0" borderId="0" xfId="0" applyFont="1" applyAlignment="1">
      <alignment horizontal="center"/>
    </xf>
    <xf numFmtId="0" fontId="1" fillId="0" borderId="7" xfId="0" applyFont="1" applyBorder="1" applyAlignment="1">
      <alignment horizontal="center" vertical="top" wrapText="1"/>
    </xf>
    <xf numFmtId="0" fontId="9" fillId="0" borderId="7" xfId="3" applyFill="1" applyBorder="1" applyAlignment="1">
      <alignment horizontal="center" vertical="top" wrapText="1"/>
    </xf>
    <xf numFmtId="0" fontId="8" fillId="0" borderId="7" xfId="2" applyFill="1" applyBorder="1" applyAlignment="1">
      <alignment horizontal="center" vertical="top" wrapText="1"/>
    </xf>
    <xf numFmtId="0" fontId="10" fillId="0" borderId="7" xfId="4" applyFill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</cellXfs>
  <cellStyles count="5">
    <cellStyle name="Bad" xfId="3" builtinId="27"/>
    <cellStyle name="Good" xfId="2" builtinId="26"/>
    <cellStyle name="Neutral" xfId="4" builtinId="28"/>
    <cellStyle name="Normal" xfId="0" builtinId="0"/>
    <cellStyle name="Normal 2" xfId="1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BN24"/>
  <sheetViews>
    <sheetView tabSelected="1" zoomScaleNormal="100" zoomScaleSheetLayoutView="11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1" sqref="A11"/>
    </sheetView>
  </sheetViews>
  <sheetFormatPr defaultColWidth="7" defaultRowHeight="13.2" x14ac:dyDescent="0.25"/>
  <cols>
    <col min="1" max="1" width="18.6640625" style="9" customWidth="1"/>
    <col min="2" max="2" width="14.6640625" style="5" customWidth="1"/>
    <col min="3" max="6" width="7" style="5" customWidth="1"/>
    <col min="7" max="10" width="7" style="5" hidden="1" customWidth="1"/>
    <col min="11" max="58" width="7" style="5" customWidth="1"/>
    <col min="59" max="60" width="7" style="5" hidden="1" customWidth="1"/>
    <col min="61" max="66" width="7" style="5" customWidth="1"/>
  </cols>
  <sheetData>
    <row r="1" spans="1:66" ht="112.2" customHeight="1" thickBot="1" x14ac:dyDescent="0.35">
      <c r="A1" s="15" t="s">
        <v>8</v>
      </c>
      <c r="B1" s="17" t="s">
        <v>11</v>
      </c>
      <c r="C1" s="16" t="s">
        <v>66</v>
      </c>
      <c r="D1" s="16" t="s">
        <v>67</v>
      </c>
      <c r="E1" s="16" t="s">
        <v>43</v>
      </c>
      <c r="F1" s="16" t="s">
        <v>44</v>
      </c>
      <c r="G1" s="16" t="s">
        <v>45</v>
      </c>
      <c r="H1" s="16" t="s">
        <v>78</v>
      </c>
      <c r="I1" s="16" t="s">
        <v>76</v>
      </c>
      <c r="J1" s="16" t="s">
        <v>75</v>
      </c>
      <c r="K1" s="16" t="s">
        <v>46</v>
      </c>
      <c r="L1" s="16" t="s">
        <v>57</v>
      </c>
      <c r="M1" s="16" t="s">
        <v>58</v>
      </c>
      <c r="N1" s="16" t="s">
        <v>77</v>
      </c>
      <c r="O1" s="16" t="s">
        <v>59</v>
      </c>
      <c r="P1" s="16" t="s">
        <v>60</v>
      </c>
      <c r="Q1" s="16" t="s">
        <v>14</v>
      </c>
      <c r="R1" s="16" t="s">
        <v>15</v>
      </c>
      <c r="S1" s="16" t="s">
        <v>20</v>
      </c>
      <c r="T1" s="16" t="s">
        <v>29</v>
      </c>
      <c r="U1" s="16" t="s">
        <v>25</v>
      </c>
      <c r="V1" s="16" t="s">
        <v>24</v>
      </c>
      <c r="W1" s="16" t="s">
        <v>22</v>
      </c>
      <c r="X1" s="16" t="s">
        <v>30</v>
      </c>
      <c r="Y1" s="16" t="s">
        <v>54</v>
      </c>
      <c r="Z1" s="16" t="s">
        <v>12</v>
      </c>
      <c r="AA1" s="16" t="s">
        <v>13</v>
      </c>
      <c r="AB1" s="16" t="s">
        <v>26</v>
      </c>
      <c r="AC1" s="16" t="s">
        <v>27</v>
      </c>
      <c r="AD1" s="16" t="s">
        <v>28</v>
      </c>
      <c r="AE1" s="16" t="s">
        <v>33</v>
      </c>
      <c r="AF1" s="16" t="s">
        <v>35</v>
      </c>
      <c r="AG1" s="16" t="s">
        <v>37</v>
      </c>
      <c r="AH1" s="16" t="s">
        <v>38</v>
      </c>
      <c r="AI1" s="16" t="s">
        <v>23</v>
      </c>
      <c r="AJ1" s="16" t="s">
        <v>39</v>
      </c>
      <c r="AK1" s="16" t="s">
        <v>51</v>
      </c>
      <c r="AL1" s="16" t="s">
        <v>55</v>
      </c>
      <c r="AM1" s="16" t="s">
        <v>31</v>
      </c>
      <c r="AN1" s="16" t="s">
        <v>98</v>
      </c>
      <c r="AO1" s="16" t="s">
        <v>21</v>
      </c>
      <c r="AP1" s="16" t="s">
        <v>84</v>
      </c>
      <c r="AQ1" s="16" t="s">
        <v>86</v>
      </c>
      <c r="AR1" s="16" t="s">
        <v>19</v>
      </c>
      <c r="AS1" s="16" t="s">
        <v>40</v>
      </c>
      <c r="AT1" s="16" t="s">
        <v>41</v>
      </c>
      <c r="AU1" s="16" t="s">
        <v>56</v>
      </c>
      <c r="AV1" s="16" t="s">
        <v>42</v>
      </c>
      <c r="AW1" s="16" t="s">
        <v>18</v>
      </c>
      <c r="AX1" s="16" t="s">
        <v>32</v>
      </c>
      <c r="AY1" s="16" t="s">
        <v>34</v>
      </c>
      <c r="AZ1" s="16" t="s">
        <v>36</v>
      </c>
      <c r="BA1" s="16" t="s">
        <v>61</v>
      </c>
      <c r="BB1" s="16" t="s">
        <v>62</v>
      </c>
      <c r="BC1" s="16" t="s">
        <v>68</v>
      </c>
      <c r="BD1" s="16" t="s">
        <v>71</v>
      </c>
      <c r="BE1" s="16" t="s">
        <v>69</v>
      </c>
      <c r="BF1" s="16" t="s">
        <v>70</v>
      </c>
      <c r="BG1" s="16" t="s">
        <v>63</v>
      </c>
      <c r="BH1" s="16" t="s">
        <v>64</v>
      </c>
      <c r="BI1" s="16" t="s">
        <v>16</v>
      </c>
      <c r="BJ1" s="16" t="s">
        <v>17</v>
      </c>
      <c r="BK1" s="16" t="s">
        <v>95</v>
      </c>
      <c r="BL1" s="16" t="s">
        <v>94</v>
      </c>
      <c r="BM1" s="16" t="s">
        <v>72</v>
      </c>
      <c r="BN1" s="16" t="s">
        <v>65</v>
      </c>
    </row>
    <row r="2" spans="1:66" ht="13.5" customHeight="1" thickTop="1" x14ac:dyDescent="0.25">
      <c r="A2" s="6" t="s">
        <v>83</v>
      </c>
      <c r="B2" s="2" t="s">
        <v>0</v>
      </c>
      <c r="C2" s="10" t="s">
        <v>83</v>
      </c>
      <c r="D2" s="10" t="s">
        <v>89</v>
      </c>
      <c r="E2" s="10" t="s">
        <v>83</v>
      </c>
      <c r="F2" s="10" t="s">
        <v>83</v>
      </c>
      <c r="G2" s="10"/>
      <c r="H2" s="10"/>
      <c r="I2" s="10"/>
      <c r="J2" s="10"/>
      <c r="K2" s="5" t="s">
        <v>83</v>
      </c>
      <c r="L2" s="5" t="s">
        <v>89</v>
      </c>
      <c r="M2" s="5" t="s">
        <v>83</v>
      </c>
      <c r="N2" s="5" t="s">
        <v>83</v>
      </c>
      <c r="O2" s="5" t="s">
        <v>83</v>
      </c>
      <c r="P2" s="5" t="s">
        <v>89</v>
      </c>
      <c r="Q2" s="5" t="s">
        <v>83</v>
      </c>
      <c r="R2" s="5" t="s">
        <v>83</v>
      </c>
      <c r="S2" s="10" t="s">
        <v>83</v>
      </c>
      <c r="T2" s="10" t="s">
        <v>83</v>
      </c>
      <c r="U2" s="10" t="s">
        <v>83</v>
      </c>
      <c r="V2" s="10" t="s">
        <v>89</v>
      </c>
      <c r="W2" s="10" t="s">
        <v>83</v>
      </c>
      <c r="X2" s="10" t="s">
        <v>83</v>
      </c>
      <c r="Y2" s="6" t="s">
        <v>83</v>
      </c>
      <c r="Z2" s="6" t="s">
        <v>83</v>
      </c>
      <c r="AA2" s="10" t="s">
        <v>83</v>
      </c>
      <c r="AB2" s="10" t="s">
        <v>83</v>
      </c>
      <c r="AC2" s="6" t="s">
        <v>83</v>
      </c>
      <c r="AD2" s="6" t="s">
        <v>83</v>
      </c>
      <c r="AE2" s="6" t="s">
        <v>89</v>
      </c>
      <c r="AF2" s="6" t="s">
        <v>83</v>
      </c>
      <c r="AG2" s="6" t="s">
        <v>83</v>
      </c>
      <c r="AH2" s="6" t="s">
        <v>83</v>
      </c>
      <c r="AI2" s="10" t="s">
        <v>83</v>
      </c>
      <c r="AJ2" s="10" t="s">
        <v>83</v>
      </c>
      <c r="AK2" s="10" t="s">
        <v>89</v>
      </c>
      <c r="AL2" s="10" t="s">
        <v>89</v>
      </c>
      <c r="AM2" s="10" t="s">
        <v>83</v>
      </c>
      <c r="AN2" s="10" t="s">
        <v>83</v>
      </c>
      <c r="AO2" s="10" t="s">
        <v>83</v>
      </c>
      <c r="AP2" s="10" t="s">
        <v>89</v>
      </c>
      <c r="AQ2" s="10" t="s">
        <v>83</v>
      </c>
      <c r="AR2" s="10" t="s">
        <v>83</v>
      </c>
      <c r="AS2" s="10" t="s">
        <v>83</v>
      </c>
      <c r="AT2" s="10" t="s">
        <v>83</v>
      </c>
      <c r="AU2" s="10" t="s">
        <v>83</v>
      </c>
      <c r="AV2" s="10" t="s">
        <v>83</v>
      </c>
      <c r="AW2" s="10" t="s">
        <v>83</v>
      </c>
      <c r="AX2" s="10" t="s">
        <v>83</v>
      </c>
      <c r="AY2" s="10" t="s">
        <v>83</v>
      </c>
      <c r="AZ2" s="10" t="s">
        <v>83</v>
      </c>
      <c r="BA2" s="10" t="s">
        <v>83</v>
      </c>
      <c r="BB2" s="10" t="s">
        <v>89</v>
      </c>
      <c r="BC2" s="10" t="s">
        <v>83</v>
      </c>
      <c r="BD2" s="10" t="s">
        <v>83</v>
      </c>
      <c r="BE2" s="10" t="s">
        <v>83</v>
      </c>
      <c r="BF2" s="10" t="s">
        <v>83</v>
      </c>
      <c r="BG2" s="10"/>
      <c r="BH2" s="10"/>
      <c r="BI2" s="6" t="s">
        <v>83</v>
      </c>
      <c r="BJ2" s="10" t="s">
        <v>83</v>
      </c>
      <c r="BK2" s="6" t="s">
        <v>83</v>
      </c>
      <c r="BL2" s="6" t="s">
        <v>83</v>
      </c>
      <c r="BM2" s="10" t="s">
        <v>83</v>
      </c>
      <c r="BN2" s="10" t="s">
        <v>83</v>
      </c>
    </row>
    <row r="3" spans="1:66" ht="15.75" customHeight="1" x14ac:dyDescent="0.25">
      <c r="A3" s="6" t="s">
        <v>92</v>
      </c>
      <c r="B3" s="3"/>
      <c r="C3" s="6" t="s">
        <v>87</v>
      </c>
      <c r="D3" s="6" t="s">
        <v>92</v>
      </c>
      <c r="E3" s="6" t="s">
        <v>87</v>
      </c>
      <c r="F3" s="6" t="s">
        <v>92</v>
      </c>
      <c r="G3" s="6"/>
      <c r="H3" s="6"/>
      <c r="I3" s="6"/>
      <c r="J3" s="6"/>
      <c r="K3" s="5" t="s">
        <v>87</v>
      </c>
      <c r="L3" s="5" t="s">
        <v>87</v>
      </c>
      <c r="M3" s="5" t="s">
        <v>87</v>
      </c>
      <c r="N3" s="5" t="s">
        <v>87</v>
      </c>
      <c r="O3" s="5" t="s">
        <v>87</v>
      </c>
      <c r="P3" s="5" t="s">
        <v>92</v>
      </c>
      <c r="Q3" s="5" t="s">
        <v>87</v>
      </c>
      <c r="R3" s="5" t="s">
        <v>87</v>
      </c>
      <c r="S3" s="6" t="s">
        <v>87</v>
      </c>
      <c r="T3" s="6" t="s">
        <v>92</v>
      </c>
      <c r="U3" s="6" t="s">
        <v>87</v>
      </c>
      <c r="V3" s="6" t="s">
        <v>92</v>
      </c>
      <c r="W3" s="6" t="s">
        <v>87</v>
      </c>
      <c r="X3" s="6" t="s">
        <v>87</v>
      </c>
      <c r="Y3" s="6" t="s">
        <v>87</v>
      </c>
      <c r="Z3" s="6" t="s">
        <v>87</v>
      </c>
      <c r="AA3" s="6" t="s">
        <v>87</v>
      </c>
      <c r="AB3" s="6" t="s">
        <v>87</v>
      </c>
      <c r="AC3" s="6" t="s">
        <v>87</v>
      </c>
      <c r="AD3" s="6" t="s">
        <v>92</v>
      </c>
      <c r="AE3" s="6" t="s">
        <v>92</v>
      </c>
      <c r="AF3" s="6" t="s">
        <v>87</v>
      </c>
      <c r="AG3" s="6" t="s">
        <v>92</v>
      </c>
      <c r="AH3" s="6" t="s">
        <v>87</v>
      </c>
      <c r="AI3" s="6" t="s">
        <v>87</v>
      </c>
      <c r="AJ3" s="6" t="s">
        <v>92</v>
      </c>
      <c r="AK3" s="6" t="s">
        <v>87</v>
      </c>
      <c r="AL3" s="6" t="s">
        <v>87</v>
      </c>
      <c r="AM3" s="6" t="s">
        <v>92</v>
      </c>
      <c r="AN3" s="6" t="s">
        <v>92</v>
      </c>
      <c r="AO3" s="6" t="s">
        <v>87</v>
      </c>
      <c r="AP3" s="6" t="s">
        <v>92</v>
      </c>
      <c r="AQ3" s="6" t="s">
        <v>87</v>
      </c>
      <c r="AR3" s="6" t="s">
        <v>87</v>
      </c>
      <c r="AS3" s="6" t="s">
        <v>87</v>
      </c>
      <c r="AT3" s="6" t="s">
        <v>92</v>
      </c>
      <c r="AU3" s="6" t="s">
        <v>92</v>
      </c>
      <c r="AV3" s="6" t="s">
        <v>87</v>
      </c>
      <c r="AW3" s="6" t="s">
        <v>87</v>
      </c>
      <c r="AX3" s="6" t="s">
        <v>92</v>
      </c>
      <c r="AY3" s="6" t="s">
        <v>87</v>
      </c>
      <c r="AZ3" s="6" t="s">
        <v>87</v>
      </c>
      <c r="BA3" s="6" t="s">
        <v>87</v>
      </c>
      <c r="BB3" s="6" t="s">
        <v>87</v>
      </c>
      <c r="BC3" s="6" t="s">
        <v>92</v>
      </c>
      <c r="BD3" s="6" t="s">
        <v>92</v>
      </c>
      <c r="BE3" s="6" t="s">
        <v>92</v>
      </c>
      <c r="BF3" s="6" t="s">
        <v>87</v>
      </c>
      <c r="BG3" s="6"/>
      <c r="BH3" s="6"/>
      <c r="BI3" s="6" t="s">
        <v>87</v>
      </c>
      <c r="BJ3" s="6" t="s">
        <v>87</v>
      </c>
      <c r="BK3" s="6" t="s">
        <v>92</v>
      </c>
      <c r="BL3" s="6" t="s">
        <v>87</v>
      </c>
      <c r="BM3" s="6" t="s">
        <v>87</v>
      </c>
      <c r="BN3" s="6" t="s">
        <v>87</v>
      </c>
    </row>
    <row r="4" spans="1:66" ht="15.6" x14ac:dyDescent="0.25">
      <c r="A4" s="6" t="s">
        <v>80</v>
      </c>
      <c r="B4" s="2" t="s">
        <v>1</v>
      </c>
      <c r="C4" s="6" t="s">
        <v>90</v>
      </c>
      <c r="D4" s="6" t="s">
        <v>80</v>
      </c>
      <c r="E4" s="6" t="s">
        <v>80</v>
      </c>
      <c r="F4" s="6" t="s">
        <v>80</v>
      </c>
      <c r="G4" s="6"/>
      <c r="H4" s="6"/>
      <c r="I4" s="6"/>
      <c r="J4" s="6"/>
      <c r="K4" s="5" t="s">
        <v>80</v>
      </c>
      <c r="L4" s="5" t="s">
        <v>80</v>
      </c>
      <c r="M4" s="5" t="s">
        <v>90</v>
      </c>
      <c r="N4" s="5" t="s">
        <v>90</v>
      </c>
      <c r="O4" s="5" t="s">
        <v>80</v>
      </c>
      <c r="P4" s="5" t="s">
        <v>80</v>
      </c>
      <c r="Q4" s="5" t="s">
        <v>80</v>
      </c>
      <c r="R4" s="5" t="s">
        <v>97</v>
      </c>
      <c r="S4" s="6" t="s">
        <v>80</v>
      </c>
      <c r="T4" s="6" t="s">
        <v>80</v>
      </c>
      <c r="U4" s="6" t="s">
        <v>80</v>
      </c>
      <c r="V4" s="6" t="s">
        <v>80</v>
      </c>
      <c r="W4" s="6" t="s">
        <v>90</v>
      </c>
      <c r="X4" s="6" t="s">
        <v>90</v>
      </c>
      <c r="Y4" s="6" t="s">
        <v>80</v>
      </c>
      <c r="Z4" s="6" t="s">
        <v>80</v>
      </c>
      <c r="AA4" s="6" t="s">
        <v>80</v>
      </c>
      <c r="AB4" s="6" t="s">
        <v>80</v>
      </c>
      <c r="AC4" s="6" t="s">
        <v>80</v>
      </c>
      <c r="AD4" s="6" t="s">
        <v>90</v>
      </c>
      <c r="AE4" s="6" t="s">
        <v>90</v>
      </c>
      <c r="AF4" s="6" t="s">
        <v>90</v>
      </c>
      <c r="AG4" s="6" t="s">
        <v>90</v>
      </c>
      <c r="AH4" s="6" t="s">
        <v>80</v>
      </c>
      <c r="AI4" s="6" t="s">
        <v>80</v>
      </c>
      <c r="AJ4" s="6" t="s">
        <v>80</v>
      </c>
      <c r="AK4" s="6" t="s">
        <v>90</v>
      </c>
      <c r="AL4" s="6" t="s">
        <v>90</v>
      </c>
      <c r="AM4" s="6" t="s">
        <v>90</v>
      </c>
      <c r="AN4" s="6" t="s">
        <v>90</v>
      </c>
      <c r="AO4" s="6" t="s">
        <v>90</v>
      </c>
      <c r="AP4" s="6" t="s">
        <v>90</v>
      </c>
      <c r="AQ4" s="6" t="s">
        <v>80</v>
      </c>
      <c r="AR4" s="6" t="s">
        <v>90</v>
      </c>
      <c r="AS4" s="6" t="s">
        <v>80</v>
      </c>
      <c r="AT4" s="6" t="s">
        <v>80</v>
      </c>
      <c r="AU4" s="6" t="s">
        <v>90</v>
      </c>
      <c r="AV4" s="6" t="s">
        <v>90</v>
      </c>
      <c r="AW4" s="6" t="s">
        <v>90</v>
      </c>
      <c r="AX4" s="6" t="s">
        <v>80</v>
      </c>
      <c r="AY4" s="6" t="s">
        <v>80</v>
      </c>
      <c r="AZ4" s="6" t="s">
        <v>90</v>
      </c>
      <c r="BA4" s="6" t="s">
        <v>80</v>
      </c>
      <c r="BB4" s="6" t="s">
        <v>90</v>
      </c>
      <c r="BC4" s="6" t="s">
        <v>90</v>
      </c>
      <c r="BD4" s="6" t="s">
        <v>80</v>
      </c>
      <c r="BE4" s="6" t="s">
        <v>90</v>
      </c>
      <c r="BF4" s="6" t="s">
        <v>90</v>
      </c>
      <c r="BG4" s="6"/>
      <c r="BH4" s="6"/>
      <c r="BI4" s="6" t="s">
        <v>90</v>
      </c>
      <c r="BJ4" s="6" t="s">
        <v>90</v>
      </c>
      <c r="BK4" s="6" t="s">
        <v>90</v>
      </c>
      <c r="BL4" s="6" t="s">
        <v>80</v>
      </c>
      <c r="BM4" s="6" t="s">
        <v>90</v>
      </c>
      <c r="BN4" s="6" t="s">
        <v>80</v>
      </c>
    </row>
    <row r="5" spans="1:66" x14ac:dyDescent="0.25">
      <c r="A5" s="10" t="s">
        <v>73</v>
      </c>
      <c r="B5" s="3"/>
      <c r="C5" s="10" t="s">
        <v>73</v>
      </c>
      <c r="D5" s="10" t="s">
        <v>73</v>
      </c>
      <c r="E5" s="10" t="s">
        <v>73</v>
      </c>
      <c r="F5" s="10" t="s">
        <v>73</v>
      </c>
      <c r="G5" s="10"/>
      <c r="H5" s="10"/>
      <c r="I5" s="10"/>
      <c r="J5" s="10"/>
      <c r="K5" s="5" t="s">
        <v>73</v>
      </c>
      <c r="L5" s="5" t="s">
        <v>93</v>
      </c>
      <c r="M5" s="5" t="s">
        <v>73</v>
      </c>
      <c r="N5" s="5" t="s">
        <v>73</v>
      </c>
      <c r="O5" s="5" t="s">
        <v>73</v>
      </c>
      <c r="P5" s="5" t="s">
        <v>73</v>
      </c>
      <c r="Q5" s="5" t="s">
        <v>73</v>
      </c>
      <c r="R5" s="5" t="s">
        <v>73</v>
      </c>
      <c r="S5" s="10" t="s">
        <v>73</v>
      </c>
      <c r="T5" s="10" t="s">
        <v>73</v>
      </c>
      <c r="U5" s="10" t="s">
        <v>73</v>
      </c>
      <c r="V5" s="10" t="s">
        <v>73</v>
      </c>
      <c r="W5" s="10" t="s">
        <v>73</v>
      </c>
      <c r="X5" s="6" t="s">
        <v>73</v>
      </c>
      <c r="Y5" s="6" t="s">
        <v>73</v>
      </c>
      <c r="Z5" s="6" t="s">
        <v>73</v>
      </c>
      <c r="AA5" s="6" t="s">
        <v>73</v>
      </c>
      <c r="AB5" s="6" t="s">
        <v>73</v>
      </c>
      <c r="AC5" s="6" t="s">
        <v>73</v>
      </c>
      <c r="AD5" s="6" t="s">
        <v>73</v>
      </c>
      <c r="AE5" s="6" t="s">
        <v>73</v>
      </c>
      <c r="AF5" s="6" t="s">
        <v>73</v>
      </c>
      <c r="AG5" s="6" t="s">
        <v>73</v>
      </c>
      <c r="AH5" s="6" t="s">
        <v>73</v>
      </c>
      <c r="AI5" s="10" t="s">
        <v>73</v>
      </c>
      <c r="AJ5" s="10" t="s">
        <v>73</v>
      </c>
      <c r="AK5" s="10" t="s">
        <v>73</v>
      </c>
      <c r="AL5" s="10" t="s">
        <v>93</v>
      </c>
      <c r="AM5" s="10" t="s">
        <v>73</v>
      </c>
      <c r="AN5" s="10" t="s">
        <v>73</v>
      </c>
      <c r="AO5" s="10" t="s">
        <v>73</v>
      </c>
      <c r="AP5" s="10" t="s">
        <v>93</v>
      </c>
      <c r="AQ5" s="10" t="s">
        <v>73</v>
      </c>
      <c r="AR5" s="10" t="s">
        <v>73</v>
      </c>
      <c r="AS5" s="10" t="s">
        <v>73</v>
      </c>
      <c r="AT5" s="10" t="s">
        <v>73</v>
      </c>
      <c r="AU5" s="10" t="s">
        <v>73</v>
      </c>
      <c r="AV5" s="10" t="s">
        <v>73</v>
      </c>
      <c r="AW5" s="10" t="s">
        <v>73</v>
      </c>
      <c r="AX5" s="10" t="s">
        <v>73</v>
      </c>
      <c r="AY5" s="10" t="s">
        <v>73</v>
      </c>
      <c r="AZ5" s="10" t="s">
        <v>73</v>
      </c>
      <c r="BA5" s="10" t="s">
        <v>73</v>
      </c>
      <c r="BB5" s="10" t="s">
        <v>73</v>
      </c>
      <c r="BC5" s="10" t="s">
        <v>73</v>
      </c>
      <c r="BD5" s="10" t="s">
        <v>73</v>
      </c>
      <c r="BE5" s="10" t="s">
        <v>73</v>
      </c>
      <c r="BF5" s="10" t="s">
        <v>73</v>
      </c>
      <c r="BG5" s="10"/>
      <c r="BH5" s="10"/>
      <c r="BI5" s="10" t="s">
        <v>73</v>
      </c>
      <c r="BJ5" s="6" t="s">
        <v>73</v>
      </c>
      <c r="BK5" s="10" t="s">
        <v>73</v>
      </c>
      <c r="BL5" s="10" t="s">
        <v>93</v>
      </c>
      <c r="BM5" s="6" t="s">
        <v>93</v>
      </c>
      <c r="BN5" s="6" t="s">
        <v>73</v>
      </c>
    </row>
    <row r="6" spans="1:66" x14ac:dyDescent="0.25">
      <c r="A6" s="10" t="s">
        <v>81</v>
      </c>
      <c r="B6" s="3"/>
      <c r="C6" s="6" t="s">
        <v>81</v>
      </c>
      <c r="D6" s="6" t="s">
        <v>81</v>
      </c>
      <c r="E6" s="6" t="s">
        <v>81</v>
      </c>
      <c r="F6" s="6" t="s">
        <v>81</v>
      </c>
      <c r="G6" s="6"/>
      <c r="H6" s="6"/>
      <c r="I6" s="6"/>
      <c r="J6" s="6"/>
      <c r="K6" s="5" t="s">
        <v>81</v>
      </c>
      <c r="L6" s="5" t="s">
        <v>96</v>
      </c>
      <c r="M6" s="5" t="s">
        <v>81</v>
      </c>
      <c r="N6" s="5" t="s">
        <v>81</v>
      </c>
      <c r="O6" s="5" t="s">
        <v>81</v>
      </c>
      <c r="P6" s="5" t="s">
        <v>81</v>
      </c>
      <c r="Q6" s="5" t="s">
        <v>81</v>
      </c>
      <c r="R6" s="5" t="s">
        <v>81</v>
      </c>
      <c r="S6" s="6" t="s">
        <v>81</v>
      </c>
      <c r="T6" s="6" t="s">
        <v>81</v>
      </c>
      <c r="U6" s="6" t="s">
        <v>81</v>
      </c>
      <c r="V6" s="6" t="s">
        <v>81</v>
      </c>
      <c r="W6" s="6" t="s">
        <v>81</v>
      </c>
      <c r="X6" s="10" t="s">
        <v>81</v>
      </c>
      <c r="Y6" s="6" t="s">
        <v>81</v>
      </c>
      <c r="Z6" s="6" t="s">
        <v>81</v>
      </c>
      <c r="AA6" s="10" t="s">
        <v>81</v>
      </c>
      <c r="AB6" s="10" t="s">
        <v>81</v>
      </c>
      <c r="AC6" s="6" t="s">
        <v>81</v>
      </c>
      <c r="AD6" s="6" t="s">
        <v>81</v>
      </c>
      <c r="AE6" s="6" t="s">
        <v>81</v>
      </c>
      <c r="AF6" s="6" t="s">
        <v>81</v>
      </c>
      <c r="AG6" s="6" t="s">
        <v>81</v>
      </c>
      <c r="AH6" s="6" t="s">
        <v>81</v>
      </c>
      <c r="AI6" s="6" t="s">
        <v>81</v>
      </c>
      <c r="AJ6" s="6" t="s">
        <v>81</v>
      </c>
      <c r="AK6" s="6" t="s">
        <v>81</v>
      </c>
      <c r="AL6" s="6" t="s">
        <v>81</v>
      </c>
      <c r="AM6" s="6" t="s">
        <v>81</v>
      </c>
      <c r="AN6" s="6" t="s">
        <v>81</v>
      </c>
      <c r="AO6" s="6" t="s">
        <v>81</v>
      </c>
      <c r="AP6" s="6" t="s">
        <v>81</v>
      </c>
      <c r="AQ6" s="6" t="s">
        <v>81</v>
      </c>
      <c r="AR6" s="6" t="s">
        <v>81</v>
      </c>
      <c r="AS6" s="6" t="s">
        <v>81</v>
      </c>
      <c r="AT6" s="6" t="s">
        <v>81</v>
      </c>
      <c r="AU6" s="6" t="s">
        <v>81</v>
      </c>
      <c r="AV6" s="6" t="s">
        <v>81</v>
      </c>
      <c r="AW6" s="6" t="s">
        <v>81</v>
      </c>
      <c r="AX6" s="6" t="s">
        <v>81</v>
      </c>
      <c r="AY6" s="6" t="s">
        <v>96</v>
      </c>
      <c r="AZ6" s="6" t="s">
        <v>81</v>
      </c>
      <c r="BA6" s="6" t="s">
        <v>81</v>
      </c>
      <c r="BB6" s="6" t="s">
        <v>81</v>
      </c>
      <c r="BC6" s="6" t="s">
        <v>81</v>
      </c>
      <c r="BD6" s="6" t="s">
        <v>81</v>
      </c>
      <c r="BE6" s="6" t="s">
        <v>81</v>
      </c>
      <c r="BF6" s="6" t="s">
        <v>81</v>
      </c>
      <c r="BG6" s="6"/>
      <c r="BH6" s="6"/>
      <c r="BI6" s="10" t="s">
        <v>81</v>
      </c>
      <c r="BJ6" s="10" t="s">
        <v>81</v>
      </c>
      <c r="BK6" s="10" t="s">
        <v>81</v>
      </c>
      <c r="BL6" s="10" t="s">
        <v>96</v>
      </c>
      <c r="BM6" s="10" t="s">
        <v>81</v>
      </c>
      <c r="BN6" s="10" t="s">
        <v>81</v>
      </c>
    </row>
    <row r="7" spans="1:66" ht="13.8" thickBot="1" x14ac:dyDescent="0.3">
      <c r="A7" s="10" t="s">
        <v>88</v>
      </c>
      <c r="B7" s="3"/>
      <c r="C7" s="6" t="s">
        <v>88</v>
      </c>
      <c r="D7" s="6" t="s">
        <v>88</v>
      </c>
      <c r="E7" s="6" t="s">
        <v>82</v>
      </c>
      <c r="F7" s="6" t="s">
        <v>88</v>
      </c>
      <c r="G7" s="6"/>
      <c r="H7" s="6"/>
      <c r="I7" s="6"/>
      <c r="J7" s="6"/>
      <c r="K7" s="6" t="s">
        <v>88</v>
      </c>
      <c r="L7" s="5" t="s">
        <v>88</v>
      </c>
      <c r="M7" s="5" t="s">
        <v>88</v>
      </c>
      <c r="N7" s="5" t="s">
        <v>82</v>
      </c>
      <c r="O7" s="5" t="s">
        <v>82</v>
      </c>
      <c r="P7" s="5" t="s">
        <v>82</v>
      </c>
      <c r="Q7" s="5" t="s">
        <v>82</v>
      </c>
      <c r="R7" s="5" t="s">
        <v>82</v>
      </c>
      <c r="S7" s="6" t="s">
        <v>88</v>
      </c>
      <c r="T7" s="6" t="s">
        <v>88</v>
      </c>
      <c r="U7" s="6" t="s">
        <v>82</v>
      </c>
      <c r="V7" s="6" t="s">
        <v>82</v>
      </c>
      <c r="W7" s="6" t="s">
        <v>82</v>
      </c>
      <c r="X7" s="10" t="s">
        <v>82</v>
      </c>
      <c r="Y7" s="6" t="s">
        <v>82</v>
      </c>
      <c r="Z7" s="6" t="s">
        <v>88</v>
      </c>
      <c r="AA7" s="10" t="s">
        <v>82</v>
      </c>
      <c r="AB7" s="10" t="s">
        <v>82</v>
      </c>
      <c r="AC7" s="6" t="s">
        <v>88</v>
      </c>
      <c r="AD7" s="6" t="s">
        <v>88</v>
      </c>
      <c r="AE7" s="6" t="s">
        <v>82</v>
      </c>
      <c r="AF7" s="6" t="s">
        <v>82</v>
      </c>
      <c r="AG7" s="6" t="s">
        <v>88</v>
      </c>
      <c r="AH7" s="6" t="s">
        <v>82</v>
      </c>
      <c r="AI7" s="6" t="s">
        <v>82</v>
      </c>
      <c r="AJ7" s="6" t="s">
        <v>82</v>
      </c>
      <c r="AK7" s="6" t="s">
        <v>82</v>
      </c>
      <c r="AL7" s="6" t="s">
        <v>82</v>
      </c>
      <c r="AM7" s="6" t="s">
        <v>82</v>
      </c>
      <c r="AN7" s="6" t="s">
        <v>82</v>
      </c>
      <c r="AO7" s="6" t="s">
        <v>88</v>
      </c>
      <c r="AP7" s="6" t="s">
        <v>88</v>
      </c>
      <c r="AQ7" s="6" t="s">
        <v>82</v>
      </c>
      <c r="AR7" s="6" t="s">
        <v>88</v>
      </c>
      <c r="AS7" s="6" t="s">
        <v>88</v>
      </c>
      <c r="AT7" s="6" t="s">
        <v>88</v>
      </c>
      <c r="AU7" s="6" t="s">
        <v>82</v>
      </c>
      <c r="AV7" s="6" t="s">
        <v>82</v>
      </c>
      <c r="AW7" s="6" t="s">
        <v>82</v>
      </c>
      <c r="AX7" s="6" t="s">
        <v>82</v>
      </c>
      <c r="AY7" s="6" t="s">
        <v>82</v>
      </c>
      <c r="AZ7" s="6" t="s">
        <v>88</v>
      </c>
      <c r="BA7" s="6" t="s">
        <v>88</v>
      </c>
      <c r="BB7" s="6" t="s">
        <v>82</v>
      </c>
      <c r="BC7" s="6" t="s">
        <v>82</v>
      </c>
      <c r="BD7" s="6" t="s">
        <v>88</v>
      </c>
      <c r="BE7" s="6" t="s">
        <v>82</v>
      </c>
      <c r="BF7" s="6" t="s">
        <v>82</v>
      </c>
      <c r="BG7" s="6"/>
      <c r="BH7" s="6"/>
      <c r="BI7" s="6" t="s">
        <v>88</v>
      </c>
      <c r="BJ7" s="6" t="s">
        <v>82</v>
      </c>
      <c r="BK7" s="6" t="s">
        <v>88</v>
      </c>
      <c r="BL7" s="6" t="s">
        <v>82</v>
      </c>
      <c r="BM7" s="10" t="s">
        <v>82</v>
      </c>
      <c r="BN7" s="10" t="s">
        <v>88</v>
      </c>
    </row>
    <row r="8" spans="1:66" ht="17.399999999999999" thickTop="1" thickBot="1" x14ac:dyDescent="0.3">
      <c r="A8" s="15" t="s">
        <v>9</v>
      </c>
      <c r="B8" s="11" t="s">
        <v>2</v>
      </c>
      <c r="C8" s="12">
        <f t="shared" ref="C8:BK8" si="0">2*COUNTIF(C2:C7, $A2)+2*COUNTIF(C2:C7, $A3) + 2*COUNTIF(C2:C7, $A4) + 2*COUNTIF(C2:C7, $A5) + 2*COUNTIF(C2:C7, $A6)+2*COUNTIF(C2:C7, $A7)</f>
        <v>8</v>
      </c>
      <c r="D8" s="12">
        <f t="shared" si="0"/>
        <v>10</v>
      </c>
      <c r="E8" s="12">
        <f t="shared" si="0"/>
        <v>8</v>
      </c>
      <c r="F8" s="12">
        <f t="shared" si="0"/>
        <v>12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10</v>
      </c>
      <c r="L8" s="12">
        <f t="shared" si="0"/>
        <v>4</v>
      </c>
      <c r="M8" s="12">
        <f t="shared" si="0"/>
        <v>8</v>
      </c>
      <c r="N8" s="12">
        <f t="shared" si="0"/>
        <v>6</v>
      </c>
      <c r="O8" s="12">
        <f t="shared" si="0"/>
        <v>8</v>
      </c>
      <c r="P8" s="12">
        <f t="shared" si="0"/>
        <v>8</v>
      </c>
      <c r="Q8" s="12">
        <f t="shared" ref="Q8:V8" si="1">2*COUNTIF(Q2:Q7, $A2)+2*COUNTIF(Q2:Q7, $A3) + 2*COUNTIF(Q2:Q7, $A4) + 2*COUNTIF(Q2:Q7, $A5) + 2*COUNTIF(Q2:Q7, $A6)+2*COUNTIF(Q2:Q7, $A7)</f>
        <v>8</v>
      </c>
      <c r="R8" s="12">
        <f t="shared" si="1"/>
        <v>6</v>
      </c>
      <c r="S8" s="12">
        <f t="shared" si="1"/>
        <v>10</v>
      </c>
      <c r="T8" s="12">
        <f t="shared" si="1"/>
        <v>12</v>
      </c>
      <c r="U8" s="12">
        <f t="shared" si="1"/>
        <v>8</v>
      </c>
      <c r="V8" s="12">
        <f t="shared" si="1"/>
        <v>8</v>
      </c>
      <c r="W8" s="12">
        <f t="shared" ref="W8:Y8" si="2">2*COUNTIF(W2:W7, $A2)+2*COUNTIF(W2:W7, $A3) + 2*COUNTIF(W2:W7, $A4) + 2*COUNTIF(W2:W7, $A5) + 2*COUNTIF(W2:W7, $A6)+2*COUNTIF(W2:W7, $A7)</f>
        <v>6</v>
      </c>
      <c r="X8" s="12">
        <f t="shared" si="2"/>
        <v>6</v>
      </c>
      <c r="Y8" s="12">
        <f t="shared" si="2"/>
        <v>8</v>
      </c>
      <c r="Z8" s="12">
        <f t="shared" si="0"/>
        <v>10</v>
      </c>
      <c r="AA8" s="12">
        <f t="shared" si="0"/>
        <v>8</v>
      </c>
      <c r="AB8" s="12">
        <f t="shared" si="0"/>
        <v>8</v>
      </c>
      <c r="AC8" s="12">
        <f t="shared" si="0"/>
        <v>10</v>
      </c>
      <c r="AD8" s="12">
        <f t="shared" si="0"/>
        <v>10</v>
      </c>
      <c r="AE8" s="12">
        <f t="shared" si="0"/>
        <v>6</v>
      </c>
      <c r="AF8" s="12">
        <f t="shared" si="0"/>
        <v>6</v>
      </c>
      <c r="AG8" s="12">
        <f t="shared" si="0"/>
        <v>10</v>
      </c>
      <c r="AH8" s="12">
        <f t="shared" si="0"/>
        <v>8</v>
      </c>
      <c r="AI8" s="12">
        <f t="shared" si="0"/>
        <v>8</v>
      </c>
      <c r="AJ8" s="12">
        <f t="shared" si="0"/>
        <v>10</v>
      </c>
      <c r="AK8" s="12">
        <f t="shared" si="0"/>
        <v>4</v>
      </c>
      <c r="AL8" s="12">
        <f t="shared" si="0"/>
        <v>2</v>
      </c>
      <c r="AM8" s="12">
        <f t="shared" si="0"/>
        <v>8</v>
      </c>
      <c r="AN8" s="12">
        <f t="shared" si="0"/>
        <v>8</v>
      </c>
      <c r="AO8" s="12">
        <f t="shared" si="0"/>
        <v>8</v>
      </c>
      <c r="AP8" s="12">
        <f t="shared" si="0"/>
        <v>6</v>
      </c>
      <c r="AQ8" s="12">
        <f t="shared" si="0"/>
        <v>8</v>
      </c>
      <c r="AR8" s="12">
        <f t="shared" si="0"/>
        <v>8</v>
      </c>
      <c r="AS8" s="12">
        <f t="shared" si="0"/>
        <v>10</v>
      </c>
      <c r="AT8" s="12">
        <f t="shared" si="0"/>
        <v>12</v>
      </c>
      <c r="AU8" s="12">
        <f t="shared" si="0"/>
        <v>8</v>
      </c>
      <c r="AV8" s="12">
        <f t="shared" si="0"/>
        <v>6</v>
      </c>
      <c r="AW8" s="12">
        <f t="shared" si="0"/>
        <v>6</v>
      </c>
      <c r="AX8" s="12">
        <f t="shared" si="0"/>
        <v>10</v>
      </c>
      <c r="AY8" s="12">
        <f t="shared" si="0"/>
        <v>6</v>
      </c>
      <c r="AZ8" s="12">
        <f t="shared" si="0"/>
        <v>8</v>
      </c>
      <c r="BA8" s="12">
        <f t="shared" si="0"/>
        <v>10</v>
      </c>
      <c r="BB8" s="12">
        <f t="shared" si="0"/>
        <v>4</v>
      </c>
      <c r="BC8" s="12">
        <f t="shared" si="0"/>
        <v>8</v>
      </c>
      <c r="BD8" s="12">
        <f t="shared" si="0"/>
        <v>12</v>
      </c>
      <c r="BE8" s="12">
        <f t="shared" si="0"/>
        <v>8</v>
      </c>
      <c r="BF8" s="12">
        <f t="shared" si="0"/>
        <v>6</v>
      </c>
      <c r="BG8" s="12">
        <f t="shared" si="0"/>
        <v>0</v>
      </c>
      <c r="BH8" s="12">
        <f t="shared" si="0"/>
        <v>0</v>
      </c>
      <c r="BI8" s="12">
        <f t="shared" ref="BI8" si="3">2*COUNTIF(BI2:BI7, $A2)+2*COUNTIF(BI2:BI7, $A3) + 2*COUNTIF(BI2:BI7, $A4) + 2*COUNTIF(BI2:BI7, $A5) + 2*COUNTIF(BI2:BI7, $A6)+2*COUNTIF(BI2:BI7, $A7)</f>
        <v>8</v>
      </c>
      <c r="BJ8" s="12">
        <f t="shared" si="0"/>
        <v>6</v>
      </c>
      <c r="BK8" s="12">
        <f t="shared" si="0"/>
        <v>10</v>
      </c>
      <c r="BL8" s="12">
        <f t="shared" ref="BL8:BN8" si="4">2*COUNTIF(BL2:BL7, $A2)+2*COUNTIF(BL2:BL7, $A3) + 2*COUNTIF(BL2:BL7, $A4) + 2*COUNTIF(BL2:BL7, $A5) + 2*COUNTIF(BL2:BL7, $A6)+2*COUNTIF(BL2:BL7, $A7)</f>
        <v>4</v>
      </c>
      <c r="BM8" s="12">
        <f t="shared" si="4"/>
        <v>4</v>
      </c>
      <c r="BN8" s="12">
        <f t="shared" si="4"/>
        <v>10</v>
      </c>
    </row>
    <row r="9" spans="1:66" ht="15" customHeight="1" thickTop="1" x14ac:dyDescent="0.25">
      <c r="A9" s="6" t="s">
        <v>85</v>
      </c>
      <c r="B9" s="2" t="s">
        <v>3</v>
      </c>
      <c r="C9" s="5" t="s">
        <v>85</v>
      </c>
      <c r="D9" s="5" t="s">
        <v>85</v>
      </c>
      <c r="E9" s="5" t="s">
        <v>85</v>
      </c>
      <c r="F9" s="5" t="s">
        <v>85</v>
      </c>
      <c r="K9" s="21" t="s">
        <v>80</v>
      </c>
      <c r="L9" s="5" t="s">
        <v>89</v>
      </c>
      <c r="M9" s="5" t="s">
        <v>85</v>
      </c>
      <c r="N9" s="5" t="s">
        <v>85</v>
      </c>
      <c r="O9" s="5" t="s">
        <v>80</v>
      </c>
      <c r="P9" s="5" t="s">
        <v>85</v>
      </c>
      <c r="Q9" s="5" t="s">
        <v>80</v>
      </c>
      <c r="R9" s="5" t="s">
        <v>85</v>
      </c>
      <c r="S9" s="5" t="s">
        <v>85</v>
      </c>
      <c r="T9" s="5" t="s">
        <v>85</v>
      </c>
      <c r="U9" s="5" t="s">
        <v>85</v>
      </c>
      <c r="V9" s="5" t="s">
        <v>85</v>
      </c>
      <c r="W9" s="5" t="s">
        <v>85</v>
      </c>
      <c r="X9" s="5" t="s">
        <v>85</v>
      </c>
      <c r="Y9" s="6" t="s">
        <v>85</v>
      </c>
      <c r="Z9" s="6" t="s">
        <v>85</v>
      </c>
      <c r="AA9" s="5" t="s">
        <v>85</v>
      </c>
      <c r="AB9" s="5" t="s">
        <v>80</v>
      </c>
      <c r="AC9" s="5" t="s">
        <v>85</v>
      </c>
      <c r="AD9" s="5" t="s">
        <v>85</v>
      </c>
      <c r="AE9" s="5" t="s">
        <v>85</v>
      </c>
      <c r="AF9" s="5" t="s">
        <v>85</v>
      </c>
      <c r="AG9" s="5" t="s">
        <v>85</v>
      </c>
      <c r="AH9" s="5" t="s">
        <v>85</v>
      </c>
      <c r="AI9" s="5" t="s">
        <v>85</v>
      </c>
      <c r="AJ9" s="5" t="s">
        <v>85</v>
      </c>
      <c r="AK9" s="5" t="s">
        <v>85</v>
      </c>
      <c r="AL9" s="5" t="s">
        <v>89</v>
      </c>
      <c r="AM9" s="5" t="s">
        <v>85</v>
      </c>
      <c r="AN9" s="26" t="s">
        <v>92</v>
      </c>
      <c r="AO9" s="5" t="s">
        <v>90</v>
      </c>
      <c r="AP9" s="5" t="s">
        <v>85</v>
      </c>
      <c r="AQ9" s="5" t="s">
        <v>85</v>
      </c>
      <c r="AR9" s="5" t="s">
        <v>85</v>
      </c>
      <c r="AS9" s="5" t="s">
        <v>85</v>
      </c>
      <c r="AT9" s="5" t="s">
        <v>85</v>
      </c>
      <c r="AU9" s="5" t="s">
        <v>85</v>
      </c>
      <c r="AV9" s="5" t="s">
        <v>90</v>
      </c>
      <c r="AW9" s="5" t="s">
        <v>85</v>
      </c>
      <c r="AX9" s="5" t="s">
        <v>85</v>
      </c>
      <c r="AY9" s="5" t="s">
        <v>85</v>
      </c>
      <c r="AZ9" s="5" t="s">
        <v>85</v>
      </c>
      <c r="BA9" s="21" t="s">
        <v>80</v>
      </c>
      <c r="BB9" s="21" t="s">
        <v>85</v>
      </c>
      <c r="BC9" s="5" t="s">
        <v>85</v>
      </c>
      <c r="BD9" s="5" t="s">
        <v>85</v>
      </c>
      <c r="BE9" s="5" t="s">
        <v>85</v>
      </c>
      <c r="BF9" s="5" t="s">
        <v>85</v>
      </c>
      <c r="BI9" s="5" t="s">
        <v>85</v>
      </c>
      <c r="BJ9" s="5" t="s">
        <v>85</v>
      </c>
      <c r="BK9" s="5" t="s">
        <v>85</v>
      </c>
      <c r="BL9" s="5" t="s">
        <v>85</v>
      </c>
      <c r="BM9" s="5" t="s">
        <v>85</v>
      </c>
      <c r="BN9" s="5" t="s">
        <v>85</v>
      </c>
    </row>
    <row r="10" spans="1:66" x14ac:dyDescent="0.25">
      <c r="A10" s="6" t="s">
        <v>83</v>
      </c>
      <c r="B10" s="3"/>
      <c r="C10" s="6" t="s">
        <v>87</v>
      </c>
      <c r="D10" s="6" t="s">
        <v>92</v>
      </c>
      <c r="E10" s="6" t="s">
        <v>83</v>
      </c>
      <c r="F10" s="6" t="s">
        <v>83</v>
      </c>
      <c r="G10" s="6"/>
      <c r="H10" s="6"/>
      <c r="I10" s="6"/>
      <c r="J10" s="6"/>
      <c r="K10" s="6" t="s">
        <v>83</v>
      </c>
      <c r="L10" s="5" t="s">
        <v>87</v>
      </c>
      <c r="M10" s="5" t="s">
        <v>83</v>
      </c>
      <c r="N10" s="5" t="s">
        <v>83</v>
      </c>
      <c r="O10" s="5" t="s">
        <v>83</v>
      </c>
      <c r="P10" s="5" t="s">
        <v>80</v>
      </c>
      <c r="Q10" s="5" t="s">
        <v>83</v>
      </c>
      <c r="R10" s="5" t="s">
        <v>83</v>
      </c>
      <c r="S10" s="6" t="s">
        <v>83</v>
      </c>
      <c r="T10" s="6" t="s">
        <v>83</v>
      </c>
      <c r="U10" s="6" t="s">
        <v>83</v>
      </c>
      <c r="V10" s="6" t="s">
        <v>80</v>
      </c>
      <c r="W10" s="6" t="s">
        <v>83</v>
      </c>
      <c r="X10" s="6" t="s">
        <v>87</v>
      </c>
      <c r="Y10" s="6" t="s">
        <v>83</v>
      </c>
      <c r="Z10" s="6" t="s">
        <v>87</v>
      </c>
      <c r="AA10" s="6" t="s">
        <v>87</v>
      </c>
      <c r="AB10" s="6" t="s">
        <v>83</v>
      </c>
      <c r="AC10" s="6" t="s">
        <v>83</v>
      </c>
      <c r="AD10" s="6" t="s">
        <v>83</v>
      </c>
      <c r="AE10" s="5" t="s">
        <v>90</v>
      </c>
      <c r="AF10" s="5" t="s">
        <v>87</v>
      </c>
      <c r="AG10" s="5" t="s">
        <v>90</v>
      </c>
      <c r="AH10" s="6" t="s">
        <v>83</v>
      </c>
      <c r="AI10" s="6" t="s">
        <v>83</v>
      </c>
      <c r="AJ10" s="6" t="s">
        <v>83</v>
      </c>
      <c r="AK10" s="6" t="s">
        <v>87</v>
      </c>
      <c r="AL10" s="6" t="s">
        <v>87</v>
      </c>
      <c r="AM10" s="6" t="s">
        <v>83</v>
      </c>
      <c r="AN10" s="6" t="s">
        <v>83</v>
      </c>
      <c r="AO10" s="6" t="s">
        <v>87</v>
      </c>
      <c r="AP10" s="6" t="s">
        <v>90</v>
      </c>
      <c r="AQ10" s="6" t="s">
        <v>87</v>
      </c>
      <c r="AR10" s="6" t="s">
        <v>83</v>
      </c>
      <c r="AS10" s="6" t="s">
        <v>83</v>
      </c>
      <c r="AT10" s="6" t="s">
        <v>83</v>
      </c>
      <c r="AU10" s="6" t="s">
        <v>83</v>
      </c>
      <c r="AV10" s="6" t="s">
        <v>83</v>
      </c>
      <c r="AW10" s="6" t="s">
        <v>87</v>
      </c>
      <c r="AX10" s="6" t="s">
        <v>80</v>
      </c>
      <c r="AY10" s="6" t="s">
        <v>83</v>
      </c>
      <c r="AZ10" s="6" t="s">
        <v>83</v>
      </c>
      <c r="BA10" s="6" t="s">
        <v>87</v>
      </c>
      <c r="BB10" s="6" t="s">
        <v>87</v>
      </c>
      <c r="BC10" s="6" t="s">
        <v>90</v>
      </c>
      <c r="BD10" s="6" t="s">
        <v>83</v>
      </c>
      <c r="BE10" s="6" t="s">
        <v>83</v>
      </c>
      <c r="BF10" s="6" t="s">
        <v>83</v>
      </c>
      <c r="BG10" s="6"/>
      <c r="BH10" s="6"/>
      <c r="BI10" s="6" t="s">
        <v>87</v>
      </c>
      <c r="BJ10" s="6" t="s">
        <v>87</v>
      </c>
      <c r="BK10" s="6" t="s">
        <v>83</v>
      </c>
      <c r="BL10" s="6" t="s">
        <v>87</v>
      </c>
      <c r="BM10" s="6" t="s">
        <v>83</v>
      </c>
      <c r="BN10" s="6" t="s">
        <v>87</v>
      </c>
    </row>
    <row r="11" spans="1:66" ht="15.6" x14ac:dyDescent="0.25">
      <c r="A11" s="6" t="s">
        <v>74</v>
      </c>
      <c r="B11" s="2" t="s">
        <v>4</v>
      </c>
      <c r="C11" s="6" t="s">
        <v>74</v>
      </c>
      <c r="D11" s="6" t="s">
        <v>74</v>
      </c>
      <c r="E11" s="6" t="s">
        <v>74</v>
      </c>
      <c r="F11" s="6" t="s">
        <v>74</v>
      </c>
      <c r="G11" s="6"/>
      <c r="H11" s="6"/>
      <c r="I11" s="6"/>
      <c r="J11" s="6"/>
      <c r="K11" s="6" t="s">
        <v>74</v>
      </c>
      <c r="L11" s="5" t="s">
        <v>74</v>
      </c>
      <c r="M11" s="5" t="s">
        <v>74</v>
      </c>
      <c r="N11" s="5" t="s">
        <v>74</v>
      </c>
      <c r="O11" s="5" t="s">
        <v>74</v>
      </c>
      <c r="P11" s="5" t="s">
        <v>74</v>
      </c>
      <c r="Q11" s="5" t="s">
        <v>73</v>
      </c>
      <c r="R11" s="5" t="s">
        <v>73</v>
      </c>
      <c r="S11" s="6" t="s">
        <v>74</v>
      </c>
      <c r="T11" s="6" t="s">
        <v>74</v>
      </c>
      <c r="U11" s="6" t="s">
        <v>74</v>
      </c>
      <c r="V11" s="6" t="s">
        <v>74</v>
      </c>
      <c r="W11" s="6" t="s">
        <v>74</v>
      </c>
      <c r="X11" s="6" t="s">
        <v>74</v>
      </c>
      <c r="Y11" s="6" t="s">
        <v>74</v>
      </c>
      <c r="Z11" s="6" t="s">
        <v>74</v>
      </c>
      <c r="AA11" s="6" t="s">
        <v>82</v>
      </c>
      <c r="AB11" s="6" t="s">
        <v>82</v>
      </c>
      <c r="AC11" s="6" t="s">
        <v>74</v>
      </c>
      <c r="AD11" s="6" t="s">
        <v>74</v>
      </c>
      <c r="AE11" s="6" t="s">
        <v>74</v>
      </c>
      <c r="AF11" s="6" t="s">
        <v>74</v>
      </c>
      <c r="AG11" s="6" t="s">
        <v>74</v>
      </c>
      <c r="AH11" s="6" t="s">
        <v>74</v>
      </c>
      <c r="AI11" s="6" t="s">
        <v>74</v>
      </c>
      <c r="AJ11" s="6" t="s">
        <v>74</v>
      </c>
      <c r="AK11" s="6" t="s">
        <v>74</v>
      </c>
      <c r="AL11" s="6" t="s">
        <v>93</v>
      </c>
      <c r="AM11" s="6" t="s">
        <v>74</v>
      </c>
      <c r="AN11" s="6" t="s">
        <v>82</v>
      </c>
      <c r="AO11" s="6" t="s">
        <v>74</v>
      </c>
      <c r="AP11" s="6" t="s">
        <v>93</v>
      </c>
      <c r="AQ11" s="6" t="s">
        <v>74</v>
      </c>
      <c r="AR11" s="6" t="s">
        <v>74</v>
      </c>
      <c r="AS11" s="6" t="s">
        <v>74</v>
      </c>
      <c r="AT11" s="6" t="s">
        <v>74</v>
      </c>
      <c r="AU11" s="6" t="s">
        <v>74</v>
      </c>
      <c r="AV11" s="6" t="s">
        <v>74</v>
      </c>
      <c r="AW11" s="6" t="s">
        <v>74</v>
      </c>
      <c r="AX11" s="6" t="s">
        <v>82</v>
      </c>
      <c r="AY11" s="6" t="s">
        <v>74</v>
      </c>
      <c r="AZ11" s="6" t="s">
        <v>74</v>
      </c>
      <c r="BA11" s="6" t="s">
        <v>73</v>
      </c>
      <c r="BB11" s="6" t="s">
        <v>82</v>
      </c>
      <c r="BC11" s="6" t="s">
        <v>82</v>
      </c>
      <c r="BD11" s="6" t="s">
        <v>74</v>
      </c>
      <c r="BE11" s="6" t="s">
        <v>82</v>
      </c>
      <c r="BF11" s="6" t="s">
        <v>82</v>
      </c>
      <c r="BG11" s="6"/>
      <c r="BH11" s="6"/>
      <c r="BI11" s="6" t="s">
        <v>74</v>
      </c>
      <c r="BJ11" s="6" t="s">
        <v>74</v>
      </c>
      <c r="BK11" s="6" t="s">
        <v>74</v>
      </c>
      <c r="BL11" s="6" t="s">
        <v>93</v>
      </c>
      <c r="BM11" s="6" t="s">
        <v>74</v>
      </c>
      <c r="BN11" s="6" t="s">
        <v>74</v>
      </c>
    </row>
    <row r="12" spans="1:66" ht="16.5" customHeight="1" thickBot="1" x14ac:dyDescent="0.3">
      <c r="A12" s="6" t="s">
        <v>81</v>
      </c>
      <c r="B12" s="4"/>
      <c r="C12" s="6" t="s">
        <v>81</v>
      </c>
      <c r="D12" s="6" t="s">
        <v>73</v>
      </c>
      <c r="E12" s="6" t="s">
        <v>73</v>
      </c>
      <c r="F12" s="6" t="s">
        <v>73</v>
      </c>
      <c r="G12" s="6"/>
      <c r="H12" s="6"/>
      <c r="I12" s="6"/>
      <c r="J12" s="6"/>
      <c r="K12" s="6" t="s">
        <v>73</v>
      </c>
      <c r="L12" s="5" t="s">
        <v>88</v>
      </c>
      <c r="M12" s="5" t="s">
        <v>73</v>
      </c>
      <c r="N12" s="5" t="s">
        <v>73</v>
      </c>
      <c r="O12" s="5" t="s">
        <v>73</v>
      </c>
      <c r="P12" s="5" t="s">
        <v>81</v>
      </c>
      <c r="Q12" s="5" t="s">
        <v>74</v>
      </c>
      <c r="R12" s="5" t="s">
        <v>74</v>
      </c>
      <c r="S12" s="6" t="s">
        <v>73</v>
      </c>
      <c r="T12" s="6" t="s">
        <v>81</v>
      </c>
      <c r="U12" s="6" t="s">
        <v>73</v>
      </c>
      <c r="V12" s="6" t="s">
        <v>81</v>
      </c>
      <c r="W12" s="6" t="s">
        <v>73</v>
      </c>
      <c r="X12" s="6" t="s">
        <v>73</v>
      </c>
      <c r="Y12" s="6" t="s">
        <v>73</v>
      </c>
      <c r="Z12" s="6" t="s">
        <v>73</v>
      </c>
      <c r="AA12" s="6" t="s">
        <v>73</v>
      </c>
      <c r="AB12" s="6" t="s">
        <v>73</v>
      </c>
      <c r="AC12" s="6" t="s">
        <v>73</v>
      </c>
      <c r="AD12" s="6" t="s">
        <v>73</v>
      </c>
      <c r="AE12" s="5" t="s">
        <v>81</v>
      </c>
      <c r="AF12" s="5" t="s">
        <v>81</v>
      </c>
      <c r="AG12" s="6" t="s">
        <v>73</v>
      </c>
      <c r="AH12" s="6" t="s">
        <v>73</v>
      </c>
      <c r="AI12" s="6" t="s">
        <v>73</v>
      </c>
      <c r="AJ12" s="6" t="s">
        <v>73</v>
      </c>
      <c r="AK12" s="6" t="s">
        <v>81</v>
      </c>
      <c r="AL12" s="6" t="s">
        <v>82</v>
      </c>
      <c r="AM12" s="6" t="s">
        <v>81</v>
      </c>
      <c r="AN12" s="6" t="s">
        <v>81</v>
      </c>
      <c r="AO12" s="6" t="s">
        <v>81</v>
      </c>
      <c r="AP12" s="6" t="s">
        <v>88</v>
      </c>
      <c r="AQ12" s="6" t="s">
        <v>73</v>
      </c>
      <c r="AR12" s="6" t="s">
        <v>73</v>
      </c>
      <c r="AS12" s="6" t="s">
        <v>73</v>
      </c>
      <c r="AT12" s="6" t="s">
        <v>81</v>
      </c>
      <c r="AU12" s="6" t="s">
        <v>81</v>
      </c>
      <c r="AV12" s="6" t="s">
        <v>73</v>
      </c>
      <c r="AW12" s="6" t="s">
        <v>81</v>
      </c>
      <c r="AX12" s="6" t="s">
        <v>73</v>
      </c>
      <c r="AY12" s="6" t="s">
        <v>82</v>
      </c>
      <c r="AZ12" s="6" t="s">
        <v>73</v>
      </c>
      <c r="BA12" s="6" t="s">
        <v>74</v>
      </c>
      <c r="BB12" s="6" t="s">
        <v>81</v>
      </c>
      <c r="BC12" s="6" t="s">
        <v>81</v>
      </c>
      <c r="BD12" s="6" t="s">
        <v>81</v>
      </c>
      <c r="BE12" s="6" t="s">
        <v>81</v>
      </c>
      <c r="BF12" s="6" t="s">
        <v>81</v>
      </c>
      <c r="BG12" s="6"/>
      <c r="BH12" s="6"/>
      <c r="BI12" s="6" t="s">
        <v>73</v>
      </c>
      <c r="BJ12" s="6" t="s">
        <v>73</v>
      </c>
      <c r="BK12" s="6" t="s">
        <v>73</v>
      </c>
      <c r="BL12" s="6" t="s">
        <v>82</v>
      </c>
      <c r="BM12" s="6" t="s">
        <v>81</v>
      </c>
      <c r="BN12" s="6" t="s">
        <v>73</v>
      </c>
    </row>
    <row r="13" spans="1:66" ht="17.399999999999999" thickTop="1" thickBot="1" x14ac:dyDescent="0.3">
      <c r="A13" s="15" t="s">
        <v>10</v>
      </c>
      <c r="B13" s="11" t="s">
        <v>2</v>
      </c>
      <c r="C13" s="12">
        <f t="shared" ref="C13:BK13" si="5">C8+3*COUNTIF(C9:C12, $A9) + 3*COUNTIF(C9:C12, $A10) + 3*COUNTIF(C9:C12, $A11) + 3* COUNTIF(C9:C12,$A12)</f>
        <v>17</v>
      </c>
      <c r="D13" s="12">
        <f t="shared" si="5"/>
        <v>16</v>
      </c>
      <c r="E13" s="12">
        <f t="shared" si="5"/>
        <v>17</v>
      </c>
      <c r="F13" s="12">
        <f t="shared" si="5"/>
        <v>21</v>
      </c>
      <c r="G13" s="12">
        <f t="shared" si="5"/>
        <v>0</v>
      </c>
      <c r="H13" s="12">
        <f t="shared" si="5"/>
        <v>0</v>
      </c>
      <c r="I13" s="12">
        <f t="shared" si="5"/>
        <v>0</v>
      </c>
      <c r="J13" s="12">
        <f t="shared" si="5"/>
        <v>0</v>
      </c>
      <c r="K13" s="12">
        <f t="shared" si="5"/>
        <v>16</v>
      </c>
      <c r="L13" s="12">
        <f t="shared" si="5"/>
        <v>7</v>
      </c>
      <c r="M13" s="12">
        <f t="shared" si="5"/>
        <v>17</v>
      </c>
      <c r="N13" s="12">
        <f t="shared" si="5"/>
        <v>15</v>
      </c>
      <c r="O13" s="12">
        <f t="shared" si="5"/>
        <v>14</v>
      </c>
      <c r="P13" s="12">
        <f t="shared" si="5"/>
        <v>17</v>
      </c>
      <c r="Q13" s="12">
        <f t="shared" ref="Q13:V13" si="6">Q8+3*COUNTIF(Q9:Q12, $A9) + 3*COUNTIF(Q9:Q12, $A10) + 3*COUNTIF(Q9:Q12, $A11) + 3* COUNTIF(Q9:Q12,$A12)</f>
        <v>14</v>
      </c>
      <c r="R13" s="12">
        <f t="shared" si="6"/>
        <v>15</v>
      </c>
      <c r="S13" s="12">
        <f t="shared" si="6"/>
        <v>19</v>
      </c>
      <c r="T13" s="12">
        <f t="shared" si="6"/>
        <v>24</v>
      </c>
      <c r="U13" s="12">
        <f t="shared" si="6"/>
        <v>17</v>
      </c>
      <c r="V13" s="12">
        <f t="shared" si="6"/>
        <v>17</v>
      </c>
      <c r="W13" s="12">
        <f t="shared" ref="W13:Y13" si="7">W8+3*COUNTIF(W9:W12, $A9) + 3*COUNTIF(W9:W12, $A10) + 3*COUNTIF(W9:W12, $A11) + 3* COUNTIF(W9:W12,$A12)</f>
        <v>15</v>
      </c>
      <c r="X13" s="12">
        <f t="shared" si="7"/>
        <v>12</v>
      </c>
      <c r="Y13" s="12">
        <f t="shared" si="7"/>
        <v>17</v>
      </c>
      <c r="Z13" s="12">
        <f t="shared" si="5"/>
        <v>16</v>
      </c>
      <c r="AA13" s="12">
        <f t="shared" si="5"/>
        <v>11</v>
      </c>
      <c r="AB13" s="12">
        <f t="shared" si="5"/>
        <v>11</v>
      </c>
      <c r="AC13" s="12">
        <f t="shared" si="5"/>
        <v>19</v>
      </c>
      <c r="AD13" s="12">
        <f t="shared" si="5"/>
        <v>19</v>
      </c>
      <c r="AE13" s="12">
        <f t="shared" si="5"/>
        <v>15</v>
      </c>
      <c r="AF13" s="12">
        <f t="shared" si="5"/>
        <v>15</v>
      </c>
      <c r="AG13" s="12">
        <f t="shared" si="5"/>
        <v>16</v>
      </c>
      <c r="AH13" s="12">
        <f t="shared" si="5"/>
        <v>17</v>
      </c>
      <c r="AI13" s="12">
        <f t="shared" si="5"/>
        <v>17</v>
      </c>
      <c r="AJ13" s="12">
        <f t="shared" si="5"/>
        <v>19</v>
      </c>
      <c r="AK13" s="12">
        <f t="shared" si="5"/>
        <v>13</v>
      </c>
      <c r="AL13" s="12">
        <f t="shared" si="5"/>
        <v>2</v>
      </c>
      <c r="AM13" s="12">
        <f t="shared" si="5"/>
        <v>20</v>
      </c>
      <c r="AN13" s="12">
        <f t="shared" si="5"/>
        <v>14</v>
      </c>
      <c r="AO13" s="12">
        <f t="shared" si="5"/>
        <v>14</v>
      </c>
      <c r="AP13" s="12">
        <f t="shared" si="5"/>
        <v>9</v>
      </c>
      <c r="AQ13" s="12">
        <f t="shared" si="5"/>
        <v>14</v>
      </c>
      <c r="AR13" s="12">
        <f t="shared" si="5"/>
        <v>17</v>
      </c>
      <c r="AS13" s="12">
        <f t="shared" si="5"/>
        <v>19</v>
      </c>
      <c r="AT13" s="12">
        <f t="shared" si="5"/>
        <v>24</v>
      </c>
      <c r="AU13" s="12">
        <f t="shared" si="5"/>
        <v>20</v>
      </c>
      <c r="AV13" s="12">
        <f t="shared" si="5"/>
        <v>12</v>
      </c>
      <c r="AW13" s="12">
        <f t="shared" si="5"/>
        <v>15</v>
      </c>
      <c r="AX13" s="12">
        <f t="shared" si="5"/>
        <v>13</v>
      </c>
      <c r="AY13" s="12">
        <f t="shared" si="5"/>
        <v>15</v>
      </c>
      <c r="AZ13" s="12">
        <f t="shared" si="5"/>
        <v>17</v>
      </c>
      <c r="BA13" s="12">
        <f t="shared" si="5"/>
        <v>13</v>
      </c>
      <c r="BB13" s="12">
        <f t="shared" si="5"/>
        <v>10</v>
      </c>
      <c r="BC13" s="12">
        <f t="shared" si="5"/>
        <v>14</v>
      </c>
      <c r="BD13" s="12">
        <f t="shared" si="5"/>
        <v>24</v>
      </c>
      <c r="BE13" s="12">
        <f t="shared" si="5"/>
        <v>17</v>
      </c>
      <c r="BF13" s="12">
        <f t="shared" si="5"/>
        <v>15</v>
      </c>
      <c r="BG13" s="12">
        <f t="shared" si="5"/>
        <v>0</v>
      </c>
      <c r="BH13" s="12">
        <f t="shared" si="5"/>
        <v>0</v>
      </c>
      <c r="BI13" s="12">
        <f t="shared" ref="BI13" si="8">BI8+3*COUNTIF(BI9:BI12, $A9) + 3*COUNTIF(BI9:BI12, $A10) + 3*COUNTIF(BI9:BI12, $A11) + 3* COUNTIF(BI9:BI12,$A12)</f>
        <v>14</v>
      </c>
      <c r="BJ13" s="12">
        <f t="shared" si="5"/>
        <v>12</v>
      </c>
      <c r="BK13" s="12">
        <f t="shared" si="5"/>
        <v>19</v>
      </c>
      <c r="BL13" s="12">
        <f t="shared" ref="BL13:BN13" si="9">BL8+3*COUNTIF(BL9:BL12, $A9) + 3*COUNTIF(BL9:BL12, $A10) + 3*COUNTIF(BL9:BL12, $A11) + 3* COUNTIF(BL9:BL12,$A12)</f>
        <v>7</v>
      </c>
      <c r="BM13" s="12">
        <f t="shared" si="9"/>
        <v>16</v>
      </c>
      <c r="BN13" s="12">
        <f t="shared" si="9"/>
        <v>16</v>
      </c>
    </row>
    <row r="14" spans="1:66" ht="16.2" thickTop="1" x14ac:dyDescent="0.25">
      <c r="A14" s="6"/>
      <c r="B14" s="2" t="s">
        <v>5</v>
      </c>
      <c r="C14" s="6" t="s">
        <v>87</v>
      </c>
      <c r="D14" s="6" t="s">
        <v>85</v>
      </c>
      <c r="E14" s="6" t="s">
        <v>85</v>
      </c>
      <c r="F14" s="6" t="s">
        <v>83</v>
      </c>
      <c r="G14" s="6"/>
      <c r="H14" s="6"/>
      <c r="I14" s="6"/>
      <c r="J14" s="6"/>
      <c r="K14" s="6" t="s">
        <v>83</v>
      </c>
      <c r="L14" s="5" t="s">
        <v>87</v>
      </c>
      <c r="M14" s="5" t="s">
        <v>85</v>
      </c>
      <c r="N14" s="5" t="s">
        <v>83</v>
      </c>
      <c r="O14" s="5" t="s">
        <v>83</v>
      </c>
      <c r="P14" s="5" t="s">
        <v>80</v>
      </c>
      <c r="Q14" s="5" t="s">
        <v>83</v>
      </c>
      <c r="R14" s="5" t="s">
        <v>85</v>
      </c>
      <c r="S14" s="6" t="s">
        <v>85</v>
      </c>
      <c r="T14" s="6" t="s">
        <v>83</v>
      </c>
      <c r="U14" s="6" t="s">
        <v>83</v>
      </c>
      <c r="V14" s="6" t="s">
        <v>85</v>
      </c>
      <c r="W14" s="6" t="s">
        <v>85</v>
      </c>
      <c r="X14" s="6" t="s">
        <v>85</v>
      </c>
      <c r="Y14" s="6" t="s">
        <v>85</v>
      </c>
      <c r="Z14" s="6" t="s">
        <v>87</v>
      </c>
      <c r="AA14" s="6" t="s">
        <v>87</v>
      </c>
      <c r="AB14" s="6" t="s">
        <v>83</v>
      </c>
      <c r="AC14" s="6" t="s">
        <v>83</v>
      </c>
      <c r="AD14" s="6" t="s">
        <v>85</v>
      </c>
      <c r="AE14" s="6" t="s">
        <v>85</v>
      </c>
      <c r="AF14" s="6" t="s">
        <v>85</v>
      </c>
      <c r="AG14" s="6" t="s">
        <v>85</v>
      </c>
      <c r="AH14" s="6" t="s">
        <v>85</v>
      </c>
      <c r="AI14" s="6" t="s">
        <v>85</v>
      </c>
      <c r="AJ14" s="6" t="s">
        <v>83</v>
      </c>
      <c r="AK14" s="6" t="s">
        <v>87</v>
      </c>
      <c r="AL14" s="6" t="s">
        <v>89</v>
      </c>
      <c r="AM14" s="6" t="s">
        <v>83</v>
      </c>
      <c r="AN14" s="6" t="s">
        <v>92</v>
      </c>
      <c r="AO14" s="6" t="s">
        <v>90</v>
      </c>
      <c r="AP14" s="6" t="s">
        <v>90</v>
      </c>
      <c r="AQ14" s="6" t="s">
        <v>85</v>
      </c>
      <c r="AR14" s="6" t="s">
        <v>85</v>
      </c>
      <c r="AS14" s="6" t="s">
        <v>83</v>
      </c>
      <c r="AT14" s="6" t="s">
        <v>83</v>
      </c>
      <c r="AU14" s="6" t="s">
        <v>85</v>
      </c>
      <c r="AV14" s="6" t="s">
        <v>83</v>
      </c>
      <c r="AW14" s="6" t="s">
        <v>87</v>
      </c>
      <c r="AX14" s="6" t="s">
        <v>80</v>
      </c>
      <c r="AY14" s="6" t="s">
        <v>83</v>
      </c>
      <c r="AZ14" s="6" t="s">
        <v>85</v>
      </c>
      <c r="BA14" s="6" t="s">
        <v>87</v>
      </c>
      <c r="BB14" s="6" t="s">
        <v>85</v>
      </c>
      <c r="BC14" s="6" t="s">
        <v>90</v>
      </c>
      <c r="BD14" s="6" t="s">
        <v>83</v>
      </c>
      <c r="BE14" s="6" t="s">
        <v>83</v>
      </c>
      <c r="BF14" s="6" t="s">
        <v>83</v>
      </c>
      <c r="BG14" s="6"/>
      <c r="BH14" s="6"/>
      <c r="BI14" s="6" t="s">
        <v>85</v>
      </c>
      <c r="BJ14" s="6" t="s">
        <v>85</v>
      </c>
      <c r="BK14" s="6" t="s">
        <v>85</v>
      </c>
      <c r="BL14" s="6" t="s">
        <v>87</v>
      </c>
      <c r="BM14" s="6" t="s">
        <v>83</v>
      </c>
      <c r="BN14" s="6" t="s">
        <v>85</v>
      </c>
    </row>
    <row r="15" spans="1:66" ht="17.25" customHeight="1" thickBot="1" x14ac:dyDescent="0.3">
      <c r="A15" s="6"/>
      <c r="B15" s="2" t="s">
        <v>6</v>
      </c>
      <c r="C15" s="6" t="s">
        <v>74</v>
      </c>
      <c r="D15" s="6" t="s">
        <v>73</v>
      </c>
      <c r="E15" s="6" t="s">
        <v>73</v>
      </c>
      <c r="F15" s="6" t="s">
        <v>74</v>
      </c>
      <c r="G15" s="6"/>
      <c r="H15" s="6"/>
      <c r="I15" s="6"/>
      <c r="J15" s="6"/>
      <c r="K15" s="6" t="s">
        <v>73</v>
      </c>
      <c r="L15" s="5" t="s">
        <v>88</v>
      </c>
      <c r="M15" s="5" t="s">
        <v>74</v>
      </c>
      <c r="N15" s="5" t="s">
        <v>73</v>
      </c>
      <c r="O15" s="5" t="s">
        <v>73</v>
      </c>
      <c r="P15" s="5" t="s">
        <v>81</v>
      </c>
      <c r="Q15" s="5" t="s">
        <v>74</v>
      </c>
      <c r="R15" s="5" t="s">
        <v>74</v>
      </c>
      <c r="S15" s="6" t="s">
        <v>73</v>
      </c>
      <c r="T15" s="6" t="s">
        <v>74</v>
      </c>
      <c r="U15" s="6" t="s">
        <v>74</v>
      </c>
      <c r="V15" s="6" t="s">
        <v>81</v>
      </c>
      <c r="W15" s="6" t="s">
        <v>74</v>
      </c>
      <c r="X15" s="6" t="s">
        <v>74</v>
      </c>
      <c r="Y15" s="6" t="s">
        <v>73</v>
      </c>
      <c r="Z15" s="6" t="s">
        <v>73</v>
      </c>
      <c r="AA15" s="6" t="s">
        <v>82</v>
      </c>
      <c r="AB15" s="6" t="s">
        <v>73</v>
      </c>
      <c r="AC15" s="6" t="s">
        <v>73</v>
      </c>
      <c r="AD15" s="6" t="s">
        <v>73</v>
      </c>
      <c r="AE15" s="6" t="s">
        <v>81</v>
      </c>
      <c r="AF15" s="6" t="s">
        <v>74</v>
      </c>
      <c r="AG15" s="6" t="s">
        <v>73</v>
      </c>
      <c r="AH15" s="6" t="s">
        <v>73</v>
      </c>
      <c r="AI15" s="6" t="s">
        <v>74</v>
      </c>
      <c r="AJ15" s="6" t="s">
        <v>74</v>
      </c>
      <c r="AK15" s="6" t="s">
        <v>81</v>
      </c>
      <c r="AL15" s="6" t="s">
        <v>93</v>
      </c>
      <c r="AM15" s="6" t="s">
        <v>81</v>
      </c>
      <c r="AN15" s="6" t="s">
        <v>81</v>
      </c>
      <c r="AO15" s="6" t="s">
        <v>74</v>
      </c>
      <c r="AP15" s="6" t="s">
        <v>88</v>
      </c>
      <c r="AQ15" s="6" t="s">
        <v>74</v>
      </c>
      <c r="AR15" s="6" t="s">
        <v>74</v>
      </c>
      <c r="AS15" s="6" t="s">
        <v>74</v>
      </c>
      <c r="AT15" s="6" t="s">
        <v>74</v>
      </c>
      <c r="AU15" s="6" t="s">
        <v>81</v>
      </c>
      <c r="AV15" s="6" t="s">
        <v>73</v>
      </c>
      <c r="AW15" s="6" t="s">
        <v>74</v>
      </c>
      <c r="AX15" s="6" t="s">
        <v>82</v>
      </c>
      <c r="AY15" s="6" t="s">
        <v>74</v>
      </c>
      <c r="AZ15" s="6" t="s">
        <v>73</v>
      </c>
      <c r="BA15" s="6" t="s">
        <v>73</v>
      </c>
      <c r="BB15" s="6" t="s">
        <v>81</v>
      </c>
      <c r="BC15" s="6" t="s">
        <v>81</v>
      </c>
      <c r="BD15" s="6" t="s">
        <v>81</v>
      </c>
      <c r="BE15" s="6" t="s">
        <v>81</v>
      </c>
      <c r="BF15" s="6" t="s">
        <v>81</v>
      </c>
      <c r="BG15" s="6"/>
      <c r="BH15" s="6"/>
      <c r="BI15" s="6" t="s">
        <v>73</v>
      </c>
      <c r="BJ15" s="6" t="s">
        <v>74</v>
      </c>
      <c r="BK15" s="6" t="s">
        <v>73</v>
      </c>
      <c r="BL15" s="6" t="s">
        <v>93</v>
      </c>
      <c r="BM15" s="6" t="s">
        <v>81</v>
      </c>
      <c r="BN15" s="6" t="s">
        <v>74</v>
      </c>
    </row>
    <row r="16" spans="1:66" ht="17.399999999999999" thickTop="1" thickBot="1" x14ac:dyDescent="0.3">
      <c r="A16" s="15" t="s">
        <v>53</v>
      </c>
      <c r="B16" s="11" t="s">
        <v>2</v>
      </c>
      <c r="C16" s="12">
        <f t="shared" ref="C16:BK16" si="10">C13+5*COUNTIF(C14:C15, $A14) + 5*COUNTIF(C14:C15, $A15)</f>
        <v>17</v>
      </c>
      <c r="D16" s="12">
        <f t="shared" si="10"/>
        <v>16</v>
      </c>
      <c r="E16" s="12">
        <f t="shared" si="10"/>
        <v>17</v>
      </c>
      <c r="F16" s="12">
        <f t="shared" si="10"/>
        <v>21</v>
      </c>
      <c r="G16" s="12">
        <f t="shared" si="10"/>
        <v>0</v>
      </c>
      <c r="H16" s="12">
        <f t="shared" si="10"/>
        <v>0</v>
      </c>
      <c r="I16" s="12">
        <f t="shared" si="10"/>
        <v>0</v>
      </c>
      <c r="J16" s="12">
        <f t="shared" si="10"/>
        <v>0</v>
      </c>
      <c r="K16" s="12">
        <f t="shared" si="10"/>
        <v>16</v>
      </c>
      <c r="L16" s="12">
        <f t="shared" si="10"/>
        <v>7</v>
      </c>
      <c r="M16" s="12">
        <f t="shared" si="10"/>
        <v>17</v>
      </c>
      <c r="N16" s="12">
        <f t="shared" si="10"/>
        <v>15</v>
      </c>
      <c r="O16" s="12">
        <f t="shared" si="10"/>
        <v>14</v>
      </c>
      <c r="P16" s="12">
        <f t="shared" si="10"/>
        <v>17</v>
      </c>
      <c r="Q16" s="12">
        <f t="shared" ref="Q16:V16" si="11">Q13+5*COUNTIF(Q14:Q15, $A14) + 5*COUNTIF(Q14:Q15, $A15)</f>
        <v>14</v>
      </c>
      <c r="R16" s="12">
        <f t="shared" si="11"/>
        <v>15</v>
      </c>
      <c r="S16" s="12">
        <f t="shared" si="11"/>
        <v>19</v>
      </c>
      <c r="T16" s="12">
        <f t="shared" si="11"/>
        <v>24</v>
      </c>
      <c r="U16" s="12">
        <f t="shared" si="11"/>
        <v>17</v>
      </c>
      <c r="V16" s="12">
        <f t="shared" si="11"/>
        <v>17</v>
      </c>
      <c r="W16" s="12">
        <f t="shared" ref="W16:Y16" si="12">W13+5*COUNTIF(W14:W15, $A14) + 5*COUNTIF(W14:W15, $A15)</f>
        <v>15</v>
      </c>
      <c r="X16" s="12">
        <f t="shared" si="12"/>
        <v>12</v>
      </c>
      <c r="Y16" s="12">
        <f t="shared" si="12"/>
        <v>17</v>
      </c>
      <c r="Z16" s="12">
        <f t="shared" si="10"/>
        <v>16</v>
      </c>
      <c r="AA16" s="12">
        <f t="shared" si="10"/>
        <v>11</v>
      </c>
      <c r="AB16" s="12">
        <f t="shared" si="10"/>
        <v>11</v>
      </c>
      <c r="AC16" s="12">
        <f t="shared" si="10"/>
        <v>19</v>
      </c>
      <c r="AD16" s="12">
        <f t="shared" si="10"/>
        <v>19</v>
      </c>
      <c r="AE16" s="12">
        <f t="shared" si="10"/>
        <v>15</v>
      </c>
      <c r="AF16" s="12">
        <f t="shared" si="10"/>
        <v>15</v>
      </c>
      <c r="AG16" s="12">
        <f t="shared" si="10"/>
        <v>16</v>
      </c>
      <c r="AH16" s="12">
        <f t="shared" si="10"/>
        <v>17</v>
      </c>
      <c r="AI16" s="12">
        <f t="shared" si="10"/>
        <v>17</v>
      </c>
      <c r="AJ16" s="12">
        <f t="shared" si="10"/>
        <v>19</v>
      </c>
      <c r="AK16" s="12">
        <f t="shared" si="10"/>
        <v>13</v>
      </c>
      <c r="AL16" s="12">
        <f t="shared" si="10"/>
        <v>2</v>
      </c>
      <c r="AM16" s="12">
        <f t="shared" si="10"/>
        <v>20</v>
      </c>
      <c r="AN16" s="12">
        <f t="shared" si="10"/>
        <v>14</v>
      </c>
      <c r="AO16" s="12">
        <f t="shared" si="10"/>
        <v>14</v>
      </c>
      <c r="AP16" s="12">
        <f t="shared" si="10"/>
        <v>9</v>
      </c>
      <c r="AQ16" s="12">
        <f t="shared" si="10"/>
        <v>14</v>
      </c>
      <c r="AR16" s="12">
        <f t="shared" si="10"/>
        <v>17</v>
      </c>
      <c r="AS16" s="12">
        <f t="shared" si="10"/>
        <v>19</v>
      </c>
      <c r="AT16" s="12">
        <f t="shared" si="10"/>
        <v>24</v>
      </c>
      <c r="AU16" s="12">
        <f t="shared" si="10"/>
        <v>20</v>
      </c>
      <c r="AV16" s="12">
        <f t="shared" si="10"/>
        <v>12</v>
      </c>
      <c r="AW16" s="12">
        <f t="shared" si="10"/>
        <v>15</v>
      </c>
      <c r="AX16" s="12">
        <f t="shared" si="10"/>
        <v>13</v>
      </c>
      <c r="AY16" s="12">
        <f t="shared" si="10"/>
        <v>15</v>
      </c>
      <c r="AZ16" s="12">
        <f t="shared" si="10"/>
        <v>17</v>
      </c>
      <c r="BA16" s="12">
        <f t="shared" si="10"/>
        <v>13</v>
      </c>
      <c r="BB16" s="12">
        <f t="shared" si="10"/>
        <v>10</v>
      </c>
      <c r="BC16" s="12">
        <f t="shared" si="10"/>
        <v>14</v>
      </c>
      <c r="BD16" s="12">
        <f t="shared" si="10"/>
        <v>24</v>
      </c>
      <c r="BE16" s="12">
        <f t="shared" si="10"/>
        <v>17</v>
      </c>
      <c r="BF16" s="12">
        <f t="shared" si="10"/>
        <v>15</v>
      </c>
      <c r="BG16" s="12">
        <f t="shared" si="10"/>
        <v>0</v>
      </c>
      <c r="BH16" s="12">
        <f t="shared" si="10"/>
        <v>0</v>
      </c>
      <c r="BI16" s="12">
        <f t="shared" ref="BI16" si="13">BI13+5*COUNTIF(BI14:BI15, $A14) + 5*COUNTIF(BI14:BI15, $A15)</f>
        <v>14</v>
      </c>
      <c r="BJ16" s="12">
        <f t="shared" si="10"/>
        <v>12</v>
      </c>
      <c r="BK16" s="12">
        <f t="shared" si="10"/>
        <v>19</v>
      </c>
      <c r="BL16" s="12">
        <f t="shared" ref="BL16:BN16" si="14">BL13+5*COUNTIF(BL14:BL15, $A14) + 5*COUNTIF(BL14:BL15, $A15)</f>
        <v>7</v>
      </c>
      <c r="BM16" s="12">
        <f t="shared" si="14"/>
        <v>16</v>
      </c>
      <c r="BN16" s="12">
        <f t="shared" si="14"/>
        <v>16</v>
      </c>
    </row>
    <row r="17" spans="1:66" ht="18" customHeight="1" thickTop="1" thickBot="1" x14ac:dyDescent="0.3">
      <c r="A17" s="8"/>
      <c r="B17" s="7" t="s">
        <v>7</v>
      </c>
      <c r="C17" s="8" t="s">
        <v>87</v>
      </c>
      <c r="D17" s="8" t="s">
        <v>73</v>
      </c>
      <c r="E17" s="8" t="s">
        <v>85</v>
      </c>
      <c r="F17" s="8" t="s">
        <v>83</v>
      </c>
      <c r="G17" s="8"/>
      <c r="H17" s="8"/>
      <c r="I17" s="8"/>
      <c r="J17" s="8"/>
      <c r="K17" s="8" t="s">
        <v>73</v>
      </c>
      <c r="L17" s="5" t="s">
        <v>88</v>
      </c>
      <c r="M17" s="5" t="s">
        <v>85</v>
      </c>
      <c r="N17" s="5" t="s">
        <v>73</v>
      </c>
      <c r="O17" s="5" t="s">
        <v>83</v>
      </c>
      <c r="P17" s="5" t="s">
        <v>81</v>
      </c>
      <c r="Q17" s="5" t="s">
        <v>74</v>
      </c>
      <c r="R17" s="5" t="s">
        <v>74</v>
      </c>
      <c r="S17" s="8" t="s">
        <v>73</v>
      </c>
      <c r="T17" s="8" t="s">
        <v>83</v>
      </c>
      <c r="U17" s="8" t="s">
        <v>74</v>
      </c>
      <c r="V17" s="8" t="s">
        <v>81</v>
      </c>
      <c r="W17" s="8" t="s">
        <v>85</v>
      </c>
      <c r="X17" s="8" t="s">
        <v>74</v>
      </c>
      <c r="Y17" s="6" t="s">
        <v>85</v>
      </c>
      <c r="Z17" s="6" t="s">
        <v>87</v>
      </c>
      <c r="AA17" s="8" t="s">
        <v>82</v>
      </c>
      <c r="AB17" s="8" t="s">
        <v>83</v>
      </c>
      <c r="AC17" s="6" t="s">
        <v>73</v>
      </c>
      <c r="AD17" s="6" t="s">
        <v>73</v>
      </c>
      <c r="AE17" s="6" t="s">
        <v>81</v>
      </c>
      <c r="AF17" s="6" t="s">
        <v>85</v>
      </c>
      <c r="AG17" s="6" t="s">
        <v>73</v>
      </c>
      <c r="AH17" s="6" t="s">
        <v>85</v>
      </c>
      <c r="AI17" s="8" t="s">
        <v>74</v>
      </c>
      <c r="AJ17" s="8" t="s">
        <v>83</v>
      </c>
      <c r="AK17" s="8" t="s">
        <v>87</v>
      </c>
      <c r="AL17" s="8" t="s">
        <v>93</v>
      </c>
      <c r="AM17" s="8" t="s">
        <v>83</v>
      </c>
      <c r="AN17" s="8" t="s">
        <v>92</v>
      </c>
      <c r="AO17" s="8" t="s">
        <v>74</v>
      </c>
      <c r="AP17" s="8" t="s">
        <v>90</v>
      </c>
      <c r="AQ17" s="8" t="s">
        <v>85</v>
      </c>
      <c r="AR17" s="8" t="s">
        <v>74</v>
      </c>
      <c r="AS17" s="8" t="s">
        <v>74</v>
      </c>
      <c r="AT17" s="8" t="s">
        <v>83</v>
      </c>
      <c r="AU17" s="8" t="s">
        <v>85</v>
      </c>
      <c r="AV17" s="8" t="s">
        <v>73</v>
      </c>
      <c r="AW17" s="8" t="s">
        <v>74</v>
      </c>
      <c r="AX17" s="8" t="s">
        <v>80</v>
      </c>
      <c r="AY17" s="8" t="s">
        <v>83</v>
      </c>
      <c r="AZ17" s="8" t="s">
        <v>73</v>
      </c>
      <c r="BA17" s="8" t="s">
        <v>73</v>
      </c>
      <c r="BB17" s="8" t="s">
        <v>81</v>
      </c>
      <c r="BC17" s="8" t="s">
        <v>81</v>
      </c>
      <c r="BD17" s="8" t="s">
        <v>81</v>
      </c>
      <c r="BE17" s="8" t="s">
        <v>81</v>
      </c>
      <c r="BF17" s="8" t="s">
        <v>81</v>
      </c>
      <c r="BG17" s="8"/>
      <c r="BH17" s="8"/>
      <c r="BI17" s="8" t="s">
        <v>73</v>
      </c>
      <c r="BJ17" s="8" t="s">
        <v>85</v>
      </c>
      <c r="BK17" s="8" t="s">
        <v>73</v>
      </c>
      <c r="BL17" s="8" t="s">
        <v>87</v>
      </c>
      <c r="BM17" s="8" t="s">
        <v>81</v>
      </c>
      <c r="BN17" s="8" t="s">
        <v>85</v>
      </c>
    </row>
    <row r="18" spans="1:66" ht="16.8" thickTop="1" x14ac:dyDescent="0.25">
      <c r="A18" s="20"/>
      <c r="B18" s="13" t="s">
        <v>2</v>
      </c>
      <c r="C18" s="14">
        <f t="shared" ref="C18:BH18" si="15">C16+8*COUNTIF(C17, $A17)</f>
        <v>17</v>
      </c>
      <c r="D18" s="14">
        <f t="shared" si="15"/>
        <v>16</v>
      </c>
      <c r="E18" s="14">
        <f t="shared" si="15"/>
        <v>17</v>
      </c>
      <c r="F18" s="14">
        <f t="shared" si="15"/>
        <v>21</v>
      </c>
      <c r="G18" s="14">
        <f t="shared" si="15"/>
        <v>0</v>
      </c>
      <c r="H18" s="14">
        <f t="shared" si="15"/>
        <v>0</v>
      </c>
      <c r="I18" s="14">
        <f t="shared" si="15"/>
        <v>0</v>
      </c>
      <c r="J18" s="14">
        <f t="shared" si="15"/>
        <v>0</v>
      </c>
      <c r="K18" s="14">
        <f t="shared" si="15"/>
        <v>16</v>
      </c>
      <c r="L18" s="14">
        <f t="shared" si="15"/>
        <v>7</v>
      </c>
      <c r="M18" s="14">
        <f t="shared" si="15"/>
        <v>17</v>
      </c>
      <c r="N18" s="14">
        <f t="shared" si="15"/>
        <v>15</v>
      </c>
      <c r="O18" s="14">
        <f t="shared" si="15"/>
        <v>14</v>
      </c>
      <c r="P18" s="14">
        <f t="shared" ref="P18" si="16">P16+8*COUNTIF(P17, $A17)</f>
        <v>17</v>
      </c>
      <c r="Q18" s="14">
        <f t="shared" ref="Q18:R18" si="17">Q16+8*COUNTIF(Q17, $A17)</f>
        <v>14</v>
      </c>
      <c r="R18" s="14">
        <f t="shared" si="17"/>
        <v>15</v>
      </c>
      <c r="S18" s="14">
        <f>S16+8*COUNTIF(S17, $A17)</f>
        <v>19</v>
      </c>
      <c r="T18" s="14">
        <f>T16+8*COUNTIF(T17, $A17)</f>
        <v>24</v>
      </c>
      <c r="U18" s="14">
        <f>U16+8*COUNTIF(U17, $A17)</f>
        <v>17</v>
      </c>
      <c r="V18" s="14">
        <f>V16+8*COUNTIF(V17, $A17)</f>
        <v>17</v>
      </c>
      <c r="W18" s="14">
        <f t="shared" si="15"/>
        <v>15</v>
      </c>
      <c r="X18" s="14">
        <f t="shared" si="15"/>
        <v>12</v>
      </c>
      <c r="Y18" s="14">
        <f t="shared" si="15"/>
        <v>17</v>
      </c>
      <c r="Z18" s="14">
        <f t="shared" si="15"/>
        <v>16</v>
      </c>
      <c r="AA18" s="14">
        <f t="shared" si="15"/>
        <v>11</v>
      </c>
      <c r="AB18" s="14">
        <f t="shared" si="15"/>
        <v>11</v>
      </c>
      <c r="AC18" s="14">
        <f t="shared" si="15"/>
        <v>19</v>
      </c>
      <c r="AD18" s="14">
        <f t="shared" si="15"/>
        <v>19</v>
      </c>
      <c r="AE18" s="14">
        <f t="shared" si="15"/>
        <v>15</v>
      </c>
      <c r="AF18" s="14">
        <f t="shared" si="15"/>
        <v>15</v>
      </c>
      <c r="AG18" s="14">
        <f t="shared" si="15"/>
        <v>16</v>
      </c>
      <c r="AH18" s="14">
        <f t="shared" si="15"/>
        <v>17</v>
      </c>
      <c r="AI18" s="14">
        <f t="shared" si="15"/>
        <v>17</v>
      </c>
      <c r="AJ18" s="14">
        <f t="shared" si="15"/>
        <v>19</v>
      </c>
      <c r="AK18" s="14">
        <f t="shared" si="15"/>
        <v>13</v>
      </c>
      <c r="AL18" s="14">
        <f t="shared" si="15"/>
        <v>2</v>
      </c>
      <c r="AM18" s="14">
        <f t="shared" si="15"/>
        <v>20</v>
      </c>
      <c r="AN18" s="14">
        <f t="shared" si="15"/>
        <v>14</v>
      </c>
      <c r="AO18" s="14">
        <f t="shared" si="15"/>
        <v>14</v>
      </c>
      <c r="AP18" s="14">
        <f t="shared" si="15"/>
        <v>9</v>
      </c>
      <c r="AQ18" s="14">
        <f t="shared" si="15"/>
        <v>14</v>
      </c>
      <c r="AR18" s="14">
        <f t="shared" si="15"/>
        <v>17</v>
      </c>
      <c r="AS18" s="14">
        <f t="shared" si="15"/>
        <v>19</v>
      </c>
      <c r="AT18" s="14">
        <f t="shared" si="15"/>
        <v>24</v>
      </c>
      <c r="AU18" s="14">
        <f t="shared" si="15"/>
        <v>20</v>
      </c>
      <c r="AV18" s="14">
        <f t="shared" si="15"/>
        <v>12</v>
      </c>
      <c r="AW18" s="14">
        <f t="shared" si="15"/>
        <v>15</v>
      </c>
      <c r="AX18" s="14">
        <f t="shared" si="15"/>
        <v>13</v>
      </c>
      <c r="AY18" s="14">
        <f t="shared" si="15"/>
        <v>15</v>
      </c>
      <c r="AZ18" s="14">
        <f t="shared" si="15"/>
        <v>17</v>
      </c>
      <c r="BA18" s="14">
        <f t="shared" si="15"/>
        <v>13</v>
      </c>
      <c r="BB18" s="14">
        <f t="shared" si="15"/>
        <v>10</v>
      </c>
      <c r="BC18" s="14">
        <f t="shared" si="15"/>
        <v>14</v>
      </c>
      <c r="BD18" s="14">
        <f t="shared" si="15"/>
        <v>24</v>
      </c>
      <c r="BE18" s="14">
        <f t="shared" si="15"/>
        <v>17</v>
      </c>
      <c r="BF18" s="14">
        <f t="shared" si="15"/>
        <v>15</v>
      </c>
      <c r="BG18" s="14">
        <f t="shared" si="15"/>
        <v>0</v>
      </c>
      <c r="BH18" s="14">
        <f t="shared" si="15"/>
        <v>0</v>
      </c>
      <c r="BI18" s="14">
        <f t="shared" ref="BI18:BN18" si="18">BI16+8*COUNTIF(BI17, $A17)</f>
        <v>14</v>
      </c>
      <c r="BJ18" s="14">
        <f t="shared" si="18"/>
        <v>12</v>
      </c>
      <c r="BK18" s="14">
        <f t="shared" si="18"/>
        <v>19</v>
      </c>
      <c r="BL18" s="14">
        <f t="shared" si="18"/>
        <v>7</v>
      </c>
      <c r="BM18" s="14">
        <f t="shared" si="18"/>
        <v>16</v>
      </c>
      <c r="BN18" s="14">
        <f t="shared" si="18"/>
        <v>16</v>
      </c>
    </row>
    <row r="19" spans="1:66" ht="14.4" x14ac:dyDescent="0.25">
      <c r="A19" s="9" t="s">
        <v>79</v>
      </c>
      <c r="B19" s="1">
        <f>COUNTA(C19:BN19)</f>
        <v>0</v>
      </c>
      <c r="C19" s="22"/>
      <c r="D19" s="22"/>
      <c r="E19" s="22"/>
      <c r="F19" s="22"/>
      <c r="G19" s="22"/>
      <c r="H19" s="22"/>
      <c r="I19" s="22"/>
      <c r="J19" s="22"/>
      <c r="K19" s="23"/>
      <c r="L19" s="22"/>
      <c r="M19" s="22"/>
      <c r="N19" s="22"/>
      <c r="O19" s="22"/>
      <c r="P19" s="23"/>
      <c r="Q19" s="23"/>
      <c r="R19" s="22"/>
      <c r="S19" s="22"/>
      <c r="T19" s="22"/>
      <c r="U19" s="22"/>
      <c r="V19" s="22"/>
      <c r="W19" s="23"/>
      <c r="X19" s="22"/>
      <c r="Y19" s="22"/>
      <c r="Z19" s="22"/>
      <c r="AA19" s="23"/>
      <c r="AB19" s="22"/>
      <c r="AC19" s="23"/>
      <c r="AD19" s="22"/>
      <c r="AE19" s="22"/>
      <c r="AF19" s="22"/>
      <c r="AG19" s="22"/>
      <c r="AH19" s="22"/>
      <c r="AI19" s="23"/>
      <c r="AJ19" s="22"/>
      <c r="AK19" s="22"/>
      <c r="AL19" s="22"/>
      <c r="AM19" s="23"/>
      <c r="AN19" s="23"/>
      <c r="AO19" s="23"/>
      <c r="AP19" s="22"/>
      <c r="AQ19" s="23"/>
      <c r="AR19" s="22"/>
      <c r="AS19" s="22"/>
      <c r="AT19" s="22"/>
      <c r="AU19" s="23"/>
      <c r="AV19" s="23"/>
      <c r="AW19" s="22"/>
      <c r="AX19" s="22"/>
      <c r="AY19" s="24"/>
      <c r="AZ19" s="25"/>
      <c r="BA19" s="22"/>
      <c r="BB19" s="25"/>
      <c r="BC19" s="22"/>
      <c r="BD19" s="22"/>
      <c r="BE19" s="22"/>
      <c r="BF19" s="25"/>
      <c r="BG19" s="22"/>
      <c r="BH19" s="22"/>
      <c r="BI19" s="22"/>
      <c r="BJ19" s="22"/>
      <c r="BK19" s="22"/>
      <c r="BL19" s="22"/>
      <c r="BM19" s="22"/>
      <c r="BN19" s="22"/>
    </row>
    <row r="20" spans="1:66" x14ac:dyDescent="0.25">
      <c r="A20" s="18" t="s">
        <v>47</v>
      </c>
      <c r="B20" s="19">
        <f>COUNTA(C17:BW17)*5</f>
        <v>290</v>
      </c>
      <c r="L20" s="22"/>
    </row>
    <row r="21" spans="1:66" x14ac:dyDescent="0.25">
      <c r="A21" s="18"/>
      <c r="B21" s="18" t="s">
        <v>52</v>
      </c>
      <c r="C21" s="6"/>
      <c r="D21" s="6"/>
      <c r="E21" s="6" t="s">
        <v>91</v>
      </c>
      <c r="F21" s="6" t="s">
        <v>91</v>
      </c>
      <c r="G21" s="6" t="s">
        <v>91</v>
      </c>
      <c r="H21" s="6" t="s">
        <v>91</v>
      </c>
      <c r="I21" s="6" t="s">
        <v>91</v>
      </c>
      <c r="J21" s="6" t="s">
        <v>91</v>
      </c>
      <c r="K21" s="6" t="s">
        <v>91</v>
      </c>
      <c r="L21" s="6" t="s">
        <v>91</v>
      </c>
      <c r="M21" s="6" t="s">
        <v>91</v>
      </c>
      <c r="N21" s="6" t="s">
        <v>91</v>
      </c>
      <c r="O21" s="6" t="s">
        <v>91</v>
      </c>
      <c r="P21" s="6" t="s">
        <v>91</v>
      </c>
      <c r="Q21" s="6" t="s">
        <v>91</v>
      </c>
      <c r="R21" s="6" t="s">
        <v>91</v>
      </c>
      <c r="S21" s="6" t="s">
        <v>91</v>
      </c>
      <c r="T21" s="6" t="s">
        <v>91</v>
      </c>
      <c r="U21" s="6" t="s">
        <v>91</v>
      </c>
      <c r="V21" s="6" t="s">
        <v>91</v>
      </c>
      <c r="W21" s="6"/>
      <c r="X21" s="6"/>
      <c r="Y21" s="6" t="s">
        <v>91</v>
      </c>
      <c r="Z21" s="6" t="s">
        <v>91</v>
      </c>
      <c r="AA21" s="6" t="s">
        <v>91</v>
      </c>
      <c r="AB21" s="6" t="s">
        <v>91</v>
      </c>
      <c r="AC21" s="6" t="s">
        <v>91</v>
      </c>
      <c r="AD21" s="6" t="s">
        <v>91</v>
      </c>
      <c r="AE21" s="6" t="s">
        <v>91</v>
      </c>
      <c r="AF21" s="6" t="s">
        <v>91</v>
      </c>
      <c r="AG21" s="6" t="s">
        <v>91</v>
      </c>
      <c r="AH21" s="6" t="s">
        <v>91</v>
      </c>
      <c r="AI21" s="6" t="s">
        <v>91</v>
      </c>
      <c r="AJ21" s="6" t="s">
        <v>91</v>
      </c>
      <c r="AK21" s="6" t="s">
        <v>91</v>
      </c>
      <c r="AL21" s="6" t="s">
        <v>91</v>
      </c>
      <c r="AM21" s="6"/>
      <c r="AN21" s="6"/>
      <c r="AO21" s="6"/>
      <c r="AP21" s="6"/>
      <c r="AQ21" s="6" t="s">
        <v>91</v>
      </c>
      <c r="AR21" s="6" t="s">
        <v>91</v>
      </c>
      <c r="AS21" s="6" t="s">
        <v>91</v>
      </c>
      <c r="AT21" s="6" t="s">
        <v>91</v>
      </c>
      <c r="AU21" s="6" t="s">
        <v>91</v>
      </c>
      <c r="AV21" s="6" t="s">
        <v>91</v>
      </c>
      <c r="AW21" s="6" t="s">
        <v>91</v>
      </c>
      <c r="AX21" s="6" t="s">
        <v>91</v>
      </c>
      <c r="AY21" s="6" t="s">
        <v>91</v>
      </c>
      <c r="AZ21" s="6" t="s">
        <v>91</v>
      </c>
      <c r="BA21" s="6" t="s">
        <v>91</v>
      </c>
      <c r="BB21" s="6" t="s">
        <v>91</v>
      </c>
      <c r="BC21" s="6"/>
      <c r="BD21" s="6"/>
      <c r="BE21" s="6"/>
      <c r="BF21" s="6"/>
      <c r="BG21" s="6"/>
      <c r="BH21" s="6"/>
      <c r="BI21" s="6" t="s">
        <v>91</v>
      </c>
      <c r="BJ21" s="6" t="s">
        <v>91</v>
      </c>
      <c r="BK21" s="6" t="s">
        <v>91</v>
      </c>
      <c r="BL21" s="6" t="s">
        <v>91</v>
      </c>
      <c r="BM21" s="6"/>
      <c r="BN21" s="6"/>
    </row>
    <row r="22" spans="1:66" x14ac:dyDescent="0.25">
      <c r="A22" s="18" t="s">
        <v>48</v>
      </c>
      <c r="B22" s="19">
        <f>0.6*B20</f>
        <v>174</v>
      </c>
    </row>
    <row r="23" spans="1:66" x14ac:dyDescent="0.25">
      <c r="A23" s="18" t="s">
        <v>49</v>
      </c>
      <c r="B23" s="19">
        <f>0.25*B20</f>
        <v>72.5</v>
      </c>
    </row>
    <row r="24" spans="1:66" x14ac:dyDescent="0.25">
      <c r="A24" s="18" t="s">
        <v>50</v>
      </c>
      <c r="B24" s="19">
        <f>(0.15*B20)</f>
        <v>43.5</v>
      </c>
    </row>
  </sheetData>
  <phoneticPr fontId="0" type="noConversion"/>
  <pageMargins left="0.75" right="0.75" top="1" bottom="1" header="0.5" footer="0.5"/>
  <pageSetup orientation="landscape" horizontalDpi="300" verticalDpi="300" r:id="rId1"/>
  <headerFooter alignWithMargins="0"/>
  <webPublishItems count="1">
    <webPublishItem id="13093" divId="SuperGRID03_13093" sourceType="range" sourceRef="A1:BK18" destinationFile="C:\PAUL\FJAPOOLNEWS\Page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SuperGrid21</vt:lpstr>
    </vt:vector>
  </TitlesOfParts>
  <Company>Saint Ignatius High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Copy</dc:creator>
  <cp:lastModifiedBy>Paul Zachlin</cp:lastModifiedBy>
  <cp:lastPrinted>2005-01-09T19:08:29Z</cp:lastPrinted>
  <dcterms:created xsi:type="dcterms:W3CDTF">2002-01-03T20:29:07Z</dcterms:created>
  <dcterms:modified xsi:type="dcterms:W3CDTF">2023-01-23T18:27:16Z</dcterms:modified>
</cp:coreProperties>
</file>